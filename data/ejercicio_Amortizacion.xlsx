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se\Desktop\temp\"/>
    </mc:Choice>
  </mc:AlternateContent>
  <xr:revisionPtr revIDLastSave="0" documentId="8_{31DDB02B-BAC7-4F17-BAD4-F1B6058DAFCC}" xr6:coauthVersionLast="47" xr6:coauthVersionMax="47" xr10:uidLastSave="{00000000-0000-0000-0000-000000000000}"/>
  <bookViews>
    <workbookView xWindow="-120" yWindow="-120" windowWidth="20730" windowHeight="11040" activeTab="3" xr2:uid="{6CBC8498-C122-498B-871F-3F3BECB1A03D}"/>
  </bookViews>
  <sheets>
    <sheet name="Leasing" sheetId="2" r:id="rId1"/>
    <sheet name="EjercicioTaller" sheetId="1" r:id="rId2"/>
    <sheet name="Leasing Proyecto final" sheetId="3" r:id="rId3"/>
    <sheet name="Ejercicio Mot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3" l="1"/>
  <c r="X18" i="3"/>
  <c r="AC141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17" i="3" s="1"/>
  <c r="AC21" i="3"/>
  <c r="Z64" i="3"/>
  <c r="Z72" i="3"/>
  <c r="Z80" i="3"/>
  <c r="Z88" i="3"/>
  <c r="Z96" i="3"/>
  <c r="Z104" i="3"/>
  <c r="Z112" i="3"/>
  <c r="Z120" i="3"/>
  <c r="Z128" i="3"/>
  <c r="Z136" i="3"/>
  <c r="Z13" i="3"/>
  <c r="Z65" i="3" s="1"/>
  <c r="W11" i="3"/>
  <c r="Y7" i="3"/>
  <c r="AA21" i="3" s="1"/>
  <c r="W22" i="3" s="1"/>
  <c r="AB10" i="3"/>
  <c r="Z12" i="3"/>
  <c r="W10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22" i="3"/>
  <c r="L17" i="3"/>
  <c r="X22" i="3" l="1"/>
  <c r="AB22" i="3" s="1"/>
  <c r="Z133" i="3"/>
  <c r="Z109" i="3"/>
  <c r="Z93" i="3"/>
  <c r="Z85" i="3"/>
  <c r="Z69" i="3"/>
  <c r="Z139" i="3"/>
  <c r="Z123" i="3"/>
  <c r="Z107" i="3"/>
  <c r="Z91" i="3"/>
  <c r="Z59" i="3"/>
  <c r="Z138" i="3"/>
  <c r="Z122" i="3"/>
  <c r="Z106" i="3"/>
  <c r="Z98" i="3"/>
  <c r="Z82" i="3"/>
  <c r="Z74" i="3"/>
  <c r="Z66" i="3"/>
  <c r="Z135" i="3"/>
  <c r="Z127" i="3"/>
  <c r="Z119" i="3"/>
  <c r="Z111" i="3"/>
  <c r="Z103" i="3"/>
  <c r="Z95" i="3"/>
  <c r="Z87" i="3"/>
  <c r="Z79" i="3"/>
  <c r="Z71" i="3"/>
  <c r="Z63" i="3"/>
  <c r="Z58" i="3"/>
  <c r="Z134" i="3"/>
  <c r="Z126" i="3"/>
  <c r="Z118" i="3"/>
  <c r="Z110" i="3"/>
  <c r="Z102" i="3"/>
  <c r="Z94" i="3"/>
  <c r="Z86" i="3"/>
  <c r="Z78" i="3"/>
  <c r="Z70" i="3"/>
  <c r="Z62" i="3"/>
  <c r="Z141" i="3"/>
  <c r="Z125" i="3"/>
  <c r="Z117" i="3"/>
  <c r="Z101" i="3"/>
  <c r="Z77" i="3"/>
  <c r="Z61" i="3"/>
  <c r="Z140" i="3"/>
  <c r="Z132" i="3"/>
  <c r="Z124" i="3"/>
  <c r="Z116" i="3"/>
  <c r="Z108" i="3"/>
  <c r="Z100" i="3"/>
  <c r="Z92" i="3"/>
  <c r="Z84" i="3"/>
  <c r="Z76" i="3"/>
  <c r="Z68" i="3"/>
  <c r="Z60" i="3"/>
  <c r="Z131" i="3"/>
  <c r="Z115" i="3"/>
  <c r="Z99" i="3"/>
  <c r="Z83" i="3"/>
  <c r="Z75" i="3"/>
  <c r="Z67" i="3"/>
  <c r="Z130" i="3"/>
  <c r="Z114" i="3"/>
  <c r="Z90" i="3"/>
  <c r="Z137" i="3"/>
  <c r="Z129" i="3"/>
  <c r="Z121" i="3"/>
  <c r="Z113" i="3"/>
  <c r="Z105" i="3"/>
  <c r="Z97" i="3"/>
  <c r="Z89" i="3"/>
  <c r="Z81" i="3"/>
  <c r="Z73" i="3"/>
  <c r="Y22" i="3" l="1"/>
  <c r="AA22" i="3" s="1"/>
  <c r="W23" i="3" s="1"/>
  <c r="X23" i="3" s="1"/>
  <c r="Y23" i="3" l="1"/>
  <c r="AA23" i="3" s="1"/>
  <c r="W24" i="3" s="1"/>
  <c r="AB23" i="3"/>
  <c r="I21" i="3"/>
  <c r="Q21" i="3" s="1"/>
  <c r="AJ15" i="3"/>
  <c r="AM21" i="3"/>
  <c r="AI22" i="3" s="1"/>
  <c r="F15" i="3"/>
  <c r="F80" i="3" s="1"/>
  <c r="S80" i="3" s="1"/>
  <c r="G21" i="3"/>
  <c r="C13" i="3"/>
  <c r="C19" i="2"/>
  <c r="C26" i="2"/>
  <c r="E22" i="2"/>
  <c r="C22" i="2"/>
  <c r="C20" i="2"/>
  <c r="C17" i="2"/>
  <c r="C14" i="2"/>
  <c r="K26" i="1"/>
  <c r="K15" i="1"/>
  <c r="K16" i="1"/>
  <c r="K17" i="1"/>
  <c r="K18" i="1"/>
  <c r="K19" i="1"/>
  <c r="K20" i="1"/>
  <c r="K21" i="1"/>
  <c r="K22" i="1"/>
  <c r="K23" i="1"/>
  <c r="K24" i="1"/>
  <c r="K25" i="1"/>
  <c r="K14" i="1"/>
  <c r="K13" i="1"/>
  <c r="C31" i="1"/>
  <c r="C29" i="1"/>
  <c r="C28" i="1"/>
  <c r="C25" i="1"/>
  <c r="C23" i="1"/>
  <c r="J5" i="1"/>
  <c r="J6" i="1"/>
  <c r="J7" i="1"/>
  <c r="J8" i="1"/>
  <c r="J9" i="1"/>
  <c r="J10" i="1"/>
  <c r="J11" i="1"/>
  <c r="J12" i="1"/>
  <c r="J13" i="1"/>
  <c r="J14" i="1"/>
  <c r="J15" i="1"/>
  <c r="J16" i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4" i="1"/>
  <c r="J3" i="1"/>
  <c r="C19" i="1"/>
  <c r="C17" i="1"/>
  <c r="X24" i="3" l="1"/>
  <c r="AB24" i="3" s="1"/>
  <c r="Y24" i="3"/>
  <c r="AA24" i="3" s="1"/>
  <c r="W25" i="3" s="1"/>
  <c r="J22" i="3"/>
  <c r="T21" i="3"/>
  <c r="C22" i="3"/>
  <c r="D22" i="3" s="1"/>
  <c r="E22" i="3" s="1"/>
  <c r="G22" i="3" s="1"/>
  <c r="C23" i="3" s="1"/>
  <c r="D23" i="3" s="1"/>
  <c r="H23" i="3" s="1"/>
  <c r="S21" i="3"/>
  <c r="F61" i="3"/>
  <c r="S61" i="3" s="1"/>
  <c r="L22" i="3"/>
  <c r="K22" i="3"/>
  <c r="M22" i="3" s="1"/>
  <c r="N22" i="3" s="1"/>
  <c r="O22" i="3" s="1"/>
  <c r="I22" i="3"/>
  <c r="F58" i="3"/>
  <c r="S58" i="3" s="1"/>
  <c r="F132" i="3"/>
  <c r="S132" i="3" s="1"/>
  <c r="F119" i="3"/>
  <c r="S119" i="3" s="1"/>
  <c r="F79" i="3"/>
  <c r="S79" i="3" s="1"/>
  <c r="F73" i="3"/>
  <c r="S73" i="3" s="1"/>
  <c r="F72" i="3"/>
  <c r="S72" i="3" s="1"/>
  <c r="F71" i="3"/>
  <c r="S71" i="3" s="1"/>
  <c r="F70" i="3"/>
  <c r="S70" i="3" s="1"/>
  <c r="F68" i="3"/>
  <c r="S68" i="3" s="1"/>
  <c r="F67" i="3"/>
  <c r="S67" i="3" s="1"/>
  <c r="F131" i="3"/>
  <c r="S131" i="3" s="1"/>
  <c r="F120" i="3"/>
  <c r="S120" i="3" s="1"/>
  <c r="F106" i="3"/>
  <c r="S106" i="3" s="1"/>
  <c r="F116" i="3"/>
  <c r="S116" i="3" s="1"/>
  <c r="F60" i="3"/>
  <c r="S60" i="3" s="1"/>
  <c r="F115" i="3"/>
  <c r="S115" i="3" s="1"/>
  <c r="F105" i="3"/>
  <c r="S105" i="3" s="1"/>
  <c r="F97" i="3"/>
  <c r="S97" i="3" s="1"/>
  <c r="F96" i="3"/>
  <c r="S96" i="3" s="1"/>
  <c r="F141" i="3"/>
  <c r="S141" i="3" s="1"/>
  <c r="F95" i="3"/>
  <c r="S95" i="3" s="1"/>
  <c r="F140" i="3"/>
  <c r="S140" i="3" s="1"/>
  <c r="F94" i="3"/>
  <c r="S94" i="3" s="1"/>
  <c r="F129" i="3"/>
  <c r="S129" i="3" s="1"/>
  <c r="F93" i="3"/>
  <c r="S93" i="3" s="1"/>
  <c r="F128" i="3"/>
  <c r="S128" i="3" s="1"/>
  <c r="F92" i="3"/>
  <c r="S92" i="3" s="1"/>
  <c r="F118" i="3"/>
  <c r="S118" i="3" s="1"/>
  <c r="F85" i="3"/>
  <c r="S85" i="3" s="1"/>
  <c r="F117" i="3"/>
  <c r="S117" i="3" s="1"/>
  <c r="F84" i="3"/>
  <c r="S84" i="3" s="1"/>
  <c r="F139" i="3"/>
  <c r="S139" i="3" s="1"/>
  <c r="F109" i="3"/>
  <c r="S109" i="3" s="1"/>
  <c r="F83" i="3"/>
  <c r="S83" i="3" s="1"/>
  <c r="F133" i="3"/>
  <c r="S133" i="3" s="1"/>
  <c r="F107" i="3"/>
  <c r="S107" i="3" s="1"/>
  <c r="F82" i="3"/>
  <c r="S82" i="3" s="1"/>
  <c r="F127" i="3"/>
  <c r="S127" i="3" s="1"/>
  <c r="F104" i="3"/>
  <c r="S104" i="3" s="1"/>
  <c r="F81" i="3"/>
  <c r="S81" i="3" s="1"/>
  <c r="F121" i="3"/>
  <c r="S121" i="3" s="1"/>
  <c r="F103" i="3"/>
  <c r="S103" i="3" s="1"/>
  <c r="AL27" i="3"/>
  <c r="AL39" i="3"/>
  <c r="AL51" i="3"/>
  <c r="AL63" i="3"/>
  <c r="AL75" i="3"/>
  <c r="AL87" i="3"/>
  <c r="AL99" i="3"/>
  <c r="AL111" i="3"/>
  <c r="AL123" i="3"/>
  <c r="AL135" i="3"/>
  <c r="AL28" i="3"/>
  <c r="AL40" i="3"/>
  <c r="AL52" i="3"/>
  <c r="AL64" i="3"/>
  <c r="AL76" i="3"/>
  <c r="AL88" i="3"/>
  <c r="AL100" i="3"/>
  <c r="AL112" i="3"/>
  <c r="AL124" i="3"/>
  <c r="AL136" i="3"/>
  <c r="AL29" i="3"/>
  <c r="AL41" i="3"/>
  <c r="AL53" i="3"/>
  <c r="AL65" i="3"/>
  <c r="AL77" i="3"/>
  <c r="AL89" i="3"/>
  <c r="AL101" i="3"/>
  <c r="AL113" i="3"/>
  <c r="AL125" i="3"/>
  <c r="AL137" i="3"/>
  <c r="AL23" i="3"/>
  <c r="AL30" i="3"/>
  <c r="AL42" i="3"/>
  <c r="AL54" i="3"/>
  <c r="AL66" i="3"/>
  <c r="AL78" i="3"/>
  <c r="AL90" i="3"/>
  <c r="AL102" i="3"/>
  <c r="AL114" i="3"/>
  <c r="AL126" i="3"/>
  <c r="AL138" i="3"/>
  <c r="AL31" i="3"/>
  <c r="AL127" i="3"/>
  <c r="AL32" i="3"/>
  <c r="AL44" i="3"/>
  <c r="AL43" i="3"/>
  <c r="AL55" i="3"/>
  <c r="AL67" i="3"/>
  <c r="AL79" i="3"/>
  <c r="AL91" i="3"/>
  <c r="AL103" i="3"/>
  <c r="AL115" i="3"/>
  <c r="AL139" i="3"/>
  <c r="AL121" i="3"/>
  <c r="AL104" i="3"/>
  <c r="AL82" i="3"/>
  <c r="AL60" i="3"/>
  <c r="AL37" i="3"/>
  <c r="AL22" i="3"/>
  <c r="AL120" i="3"/>
  <c r="AL98" i="3"/>
  <c r="AL81" i="3"/>
  <c r="AL59" i="3"/>
  <c r="AL36" i="3"/>
  <c r="AL141" i="3"/>
  <c r="AL119" i="3"/>
  <c r="AL97" i="3"/>
  <c r="AL80" i="3"/>
  <c r="AL58" i="3"/>
  <c r="AL35" i="3"/>
  <c r="AL140" i="3"/>
  <c r="AL118" i="3"/>
  <c r="AL96" i="3"/>
  <c r="AL74" i="3"/>
  <c r="AL57" i="3"/>
  <c r="AL34" i="3"/>
  <c r="AL134" i="3"/>
  <c r="AL117" i="3"/>
  <c r="AL95" i="3"/>
  <c r="AL73" i="3"/>
  <c r="AL56" i="3"/>
  <c r="AL33" i="3"/>
  <c r="AL133" i="3"/>
  <c r="AL116" i="3"/>
  <c r="AL94" i="3"/>
  <c r="AL72" i="3"/>
  <c r="AL50" i="3"/>
  <c r="AL26" i="3"/>
  <c r="AL132" i="3"/>
  <c r="AL110" i="3"/>
  <c r="AL93" i="3"/>
  <c r="AL71" i="3"/>
  <c r="AL49" i="3"/>
  <c r="AL25" i="3"/>
  <c r="AL131" i="3"/>
  <c r="AL109" i="3"/>
  <c r="AL92" i="3"/>
  <c r="AL70" i="3"/>
  <c r="AL48" i="3"/>
  <c r="AL24" i="3"/>
  <c r="AL130" i="3"/>
  <c r="AL108" i="3"/>
  <c r="AL86" i="3"/>
  <c r="AL69" i="3"/>
  <c r="AL47" i="3"/>
  <c r="AL129" i="3"/>
  <c r="AL107" i="3"/>
  <c r="AL85" i="3"/>
  <c r="AL68" i="3"/>
  <c r="AL46" i="3"/>
  <c r="F62" i="3"/>
  <c r="S62" i="3" s="1"/>
  <c r="F74" i="3"/>
  <c r="S74" i="3" s="1"/>
  <c r="F86" i="3"/>
  <c r="S86" i="3" s="1"/>
  <c r="F98" i="3"/>
  <c r="S98" i="3" s="1"/>
  <c r="F110" i="3"/>
  <c r="S110" i="3" s="1"/>
  <c r="F122" i="3"/>
  <c r="S122" i="3" s="1"/>
  <c r="F134" i="3"/>
  <c r="S134" i="3" s="1"/>
  <c r="F63" i="3"/>
  <c r="S63" i="3" s="1"/>
  <c r="F75" i="3"/>
  <c r="S75" i="3" s="1"/>
  <c r="F87" i="3"/>
  <c r="S87" i="3" s="1"/>
  <c r="F99" i="3"/>
  <c r="S99" i="3" s="1"/>
  <c r="F111" i="3"/>
  <c r="S111" i="3" s="1"/>
  <c r="F123" i="3"/>
  <c r="S123" i="3" s="1"/>
  <c r="F135" i="3"/>
  <c r="S135" i="3" s="1"/>
  <c r="F59" i="3"/>
  <c r="S59" i="3" s="1"/>
  <c r="F64" i="3"/>
  <c r="S64" i="3" s="1"/>
  <c r="F76" i="3"/>
  <c r="S76" i="3" s="1"/>
  <c r="F88" i="3"/>
  <c r="S88" i="3" s="1"/>
  <c r="F100" i="3"/>
  <c r="S100" i="3" s="1"/>
  <c r="F112" i="3"/>
  <c r="S112" i="3" s="1"/>
  <c r="F124" i="3"/>
  <c r="S124" i="3" s="1"/>
  <c r="F136" i="3"/>
  <c r="S136" i="3" s="1"/>
  <c r="F65" i="3"/>
  <c r="S65" i="3" s="1"/>
  <c r="F77" i="3"/>
  <c r="S77" i="3" s="1"/>
  <c r="F89" i="3"/>
  <c r="S89" i="3" s="1"/>
  <c r="F113" i="3"/>
  <c r="S113" i="3" s="1"/>
  <c r="F125" i="3"/>
  <c r="S125" i="3" s="1"/>
  <c r="F137" i="3"/>
  <c r="S137" i="3" s="1"/>
  <c r="F66" i="3"/>
  <c r="S66" i="3" s="1"/>
  <c r="F90" i="3"/>
  <c r="S90" i="3" s="1"/>
  <c r="F114" i="3"/>
  <c r="S114" i="3" s="1"/>
  <c r="F138" i="3"/>
  <c r="S138" i="3" s="1"/>
  <c r="F101" i="3"/>
  <c r="S101" i="3" s="1"/>
  <c r="F78" i="3"/>
  <c r="S78" i="3" s="1"/>
  <c r="F102" i="3"/>
  <c r="S102" i="3" s="1"/>
  <c r="F126" i="3"/>
  <c r="S126" i="3" s="1"/>
  <c r="AL128" i="3"/>
  <c r="AL106" i="3"/>
  <c r="AL84" i="3"/>
  <c r="AL62" i="3"/>
  <c r="AL45" i="3"/>
  <c r="F130" i="3"/>
  <c r="S130" i="3" s="1"/>
  <c r="F108" i="3"/>
  <c r="S108" i="3" s="1"/>
  <c r="F91" i="3"/>
  <c r="S91" i="3" s="1"/>
  <c r="F69" i="3"/>
  <c r="S69" i="3" s="1"/>
  <c r="AL122" i="3"/>
  <c r="AL105" i="3"/>
  <c r="AL83" i="3"/>
  <c r="AL61" i="3"/>
  <c r="AL38" i="3"/>
  <c r="AJ22" i="3"/>
  <c r="X25" i="3" l="1"/>
  <c r="AB25" i="3" s="1"/>
  <c r="Y25" i="3"/>
  <c r="AA25" i="3" s="1"/>
  <c r="W26" i="3" s="1"/>
  <c r="S17" i="3"/>
  <c r="P22" i="3"/>
  <c r="I23" i="3"/>
  <c r="E23" i="3"/>
  <c r="G23" i="3" s="1"/>
  <c r="C24" i="3" s="1"/>
  <c r="D24" i="3" s="1"/>
  <c r="H24" i="3" s="1"/>
  <c r="H22" i="3"/>
  <c r="AN22" i="3"/>
  <c r="AK22" i="3"/>
  <c r="AM22" i="3" s="1"/>
  <c r="AI23" i="3" s="1"/>
  <c r="X26" i="3" l="1"/>
  <c r="AB26" i="3" s="1"/>
  <c r="Q22" i="3"/>
  <c r="J23" i="3" s="1"/>
  <c r="K23" i="3" s="1"/>
  <c r="M23" i="3" s="1"/>
  <c r="T22" i="3"/>
  <c r="L23" i="3"/>
  <c r="P23" i="3"/>
  <c r="T23" i="3" s="1"/>
  <c r="I24" i="3"/>
  <c r="R22" i="3"/>
  <c r="E24" i="3"/>
  <c r="G24" i="3" s="1"/>
  <c r="C25" i="3" s="1"/>
  <c r="D25" i="3" s="1"/>
  <c r="H25" i="3" s="1"/>
  <c r="AJ23" i="3"/>
  <c r="AN23" i="3" s="1"/>
  <c r="C14" i="1"/>
  <c r="C15" i="1"/>
  <c r="Y26" i="3" l="1"/>
  <c r="AA26" i="3" s="1"/>
  <c r="W27" i="3" s="1"/>
  <c r="P24" i="3"/>
  <c r="T24" i="3" s="1"/>
  <c r="I25" i="3"/>
  <c r="N23" i="3"/>
  <c r="AK23" i="3"/>
  <c r="AM23" i="3" s="1"/>
  <c r="AI24" i="3" s="1"/>
  <c r="AJ24" i="3" s="1"/>
  <c r="AN24" i="3" s="1"/>
  <c r="E25" i="3"/>
  <c r="G25" i="3" s="1"/>
  <c r="C26" i="3" s="1"/>
  <c r="X27" i="3" l="1"/>
  <c r="AB27" i="3" s="1"/>
  <c r="Y27" i="3"/>
  <c r="AA27" i="3" s="1"/>
  <c r="W28" i="3" s="1"/>
  <c r="R23" i="3"/>
  <c r="O23" i="3"/>
  <c r="Q23" i="3" s="1"/>
  <c r="J24" i="3" s="1"/>
  <c r="P25" i="3"/>
  <c r="T25" i="3" s="1"/>
  <c r="I26" i="3"/>
  <c r="AK24" i="3"/>
  <c r="AM24" i="3" s="1"/>
  <c r="AI25" i="3" s="1"/>
  <c r="D26" i="3"/>
  <c r="H26" i="3" s="1"/>
  <c r="X28" i="3" l="1"/>
  <c r="AB28" i="3" s="1"/>
  <c r="Y28" i="3"/>
  <c r="AA28" i="3" s="1"/>
  <c r="W29" i="3" s="1"/>
  <c r="P26" i="3"/>
  <c r="T26" i="3" s="1"/>
  <c r="I27" i="3"/>
  <c r="K24" i="3"/>
  <c r="M24" i="3" s="1"/>
  <c r="L24" i="3"/>
  <c r="N24" i="3" s="1"/>
  <c r="R24" i="3" s="1"/>
  <c r="AJ25" i="3"/>
  <c r="AN25" i="3" s="1"/>
  <c r="E26" i="3"/>
  <c r="G26" i="3" s="1"/>
  <c r="C27" i="3" s="1"/>
  <c r="X29" i="3" l="1"/>
  <c r="AB29" i="3" s="1"/>
  <c r="O24" i="3"/>
  <c r="Q24" i="3" s="1"/>
  <c r="J25" i="3" s="1"/>
  <c r="K25" i="3" s="1"/>
  <c r="M25" i="3" s="1"/>
  <c r="AK25" i="3"/>
  <c r="AM25" i="3" s="1"/>
  <c r="AI26" i="3" s="1"/>
  <c r="I28" i="3"/>
  <c r="P27" i="3"/>
  <c r="T27" i="3" s="1"/>
  <c r="AJ26" i="3"/>
  <c r="AN26" i="3" s="1"/>
  <c r="D27" i="3"/>
  <c r="H27" i="3" s="1"/>
  <c r="Y29" i="3" l="1"/>
  <c r="AA29" i="3" s="1"/>
  <c r="W30" i="3" s="1"/>
  <c r="L25" i="3"/>
  <c r="I29" i="3"/>
  <c r="P28" i="3"/>
  <c r="T28" i="3" s="1"/>
  <c r="N25" i="3"/>
  <c r="AK26" i="3"/>
  <c r="AM26" i="3" s="1"/>
  <c r="AI27" i="3" s="1"/>
  <c r="AJ27" i="3" s="1"/>
  <c r="AN27" i="3" s="1"/>
  <c r="E27" i="3"/>
  <c r="G27" i="3" s="1"/>
  <c r="C28" i="3" s="1"/>
  <c r="X30" i="3" l="1"/>
  <c r="AB30" i="3" s="1"/>
  <c r="R25" i="3"/>
  <c r="O25" i="3"/>
  <c r="Q25" i="3" s="1"/>
  <c r="J26" i="3" s="1"/>
  <c r="I30" i="3"/>
  <c r="P29" i="3"/>
  <c r="T29" i="3" s="1"/>
  <c r="AK27" i="3"/>
  <c r="AM27" i="3" s="1"/>
  <c r="AI28" i="3" s="1"/>
  <c r="D28" i="3"/>
  <c r="H28" i="3" s="1"/>
  <c r="Y30" i="3" l="1"/>
  <c r="AA30" i="3" s="1"/>
  <c r="W31" i="3" s="1"/>
  <c r="I31" i="3"/>
  <c r="P30" i="3"/>
  <c r="T30" i="3" s="1"/>
  <c r="K26" i="3"/>
  <c r="M26" i="3" s="1"/>
  <c r="L26" i="3"/>
  <c r="E28" i="3"/>
  <c r="G28" i="3" s="1"/>
  <c r="C29" i="3" s="1"/>
  <c r="AJ28" i="3"/>
  <c r="AN28" i="3" s="1"/>
  <c r="D29" i="3"/>
  <c r="H29" i="3" s="1"/>
  <c r="X31" i="3" l="1"/>
  <c r="AB31" i="3" s="1"/>
  <c r="Y31" i="3"/>
  <c r="AA31" i="3" s="1"/>
  <c r="W32" i="3" s="1"/>
  <c r="E29" i="3"/>
  <c r="G29" i="3" s="1"/>
  <c r="C30" i="3" s="1"/>
  <c r="D30" i="3" s="1"/>
  <c r="H30" i="3" s="1"/>
  <c r="N26" i="3"/>
  <c r="I32" i="3"/>
  <c r="P31" i="3"/>
  <c r="T31" i="3" s="1"/>
  <c r="AK28" i="3"/>
  <c r="AM28" i="3" s="1"/>
  <c r="AI29" i="3" s="1"/>
  <c r="AJ29" i="3" s="1"/>
  <c r="AN29" i="3" s="1"/>
  <c r="X32" i="3" l="1"/>
  <c r="AB32" i="3" s="1"/>
  <c r="Y32" i="3"/>
  <c r="AA32" i="3" s="1"/>
  <c r="W33" i="3" s="1"/>
  <c r="I33" i="3"/>
  <c r="P32" i="3"/>
  <c r="T32" i="3" s="1"/>
  <c r="R26" i="3"/>
  <c r="O26" i="3"/>
  <c r="Q26" i="3" s="1"/>
  <c r="J27" i="3" s="1"/>
  <c r="AK29" i="3"/>
  <c r="AM29" i="3" s="1"/>
  <c r="AI30" i="3" s="1"/>
  <c r="AJ30" i="3" s="1"/>
  <c r="AN30" i="3" s="1"/>
  <c r="E30" i="3"/>
  <c r="G30" i="3" s="1"/>
  <c r="C31" i="3" s="1"/>
  <c r="D31" i="3" s="1"/>
  <c r="X33" i="3" l="1"/>
  <c r="AB33" i="3" s="1"/>
  <c r="Y33" i="3"/>
  <c r="AA33" i="3" s="1"/>
  <c r="W34" i="3" s="1"/>
  <c r="K27" i="3"/>
  <c r="M27" i="3" s="1"/>
  <c r="L27" i="3"/>
  <c r="P33" i="3"/>
  <c r="T33" i="3" s="1"/>
  <c r="I34" i="3"/>
  <c r="H31" i="3"/>
  <c r="E31" i="3"/>
  <c r="G31" i="3" s="1"/>
  <c r="C32" i="3" s="1"/>
  <c r="AK30" i="3"/>
  <c r="AM30" i="3" s="1"/>
  <c r="AI31" i="3" s="1"/>
  <c r="D32" i="3"/>
  <c r="H32" i="3" s="1"/>
  <c r="X34" i="3" l="1"/>
  <c r="AB34" i="3" s="1"/>
  <c r="Y34" i="3"/>
  <c r="AA34" i="3" s="1"/>
  <c r="W35" i="3" s="1"/>
  <c r="E32" i="3"/>
  <c r="G32" i="3" s="1"/>
  <c r="C33" i="3" s="1"/>
  <c r="D33" i="3" s="1"/>
  <c r="H33" i="3" s="1"/>
  <c r="I35" i="3"/>
  <c r="P34" i="3"/>
  <c r="T34" i="3" s="1"/>
  <c r="N27" i="3"/>
  <c r="AJ31" i="3"/>
  <c r="AN31" i="3" s="1"/>
  <c r="X35" i="3" l="1"/>
  <c r="AB35" i="3" s="1"/>
  <c r="Y35" i="3"/>
  <c r="AA35" i="3" s="1"/>
  <c r="W36" i="3" s="1"/>
  <c r="R27" i="3"/>
  <c r="O27" i="3"/>
  <c r="Q27" i="3" s="1"/>
  <c r="J28" i="3" s="1"/>
  <c r="I36" i="3"/>
  <c r="P35" i="3"/>
  <c r="T35" i="3" s="1"/>
  <c r="AK31" i="3"/>
  <c r="AM31" i="3" s="1"/>
  <c r="AI32" i="3" s="1"/>
  <c r="AJ32" i="3" s="1"/>
  <c r="AN32" i="3" s="1"/>
  <c r="E33" i="3"/>
  <c r="G33" i="3" s="1"/>
  <c r="C34" i="3" s="1"/>
  <c r="X36" i="3" l="1"/>
  <c r="AB36" i="3" s="1"/>
  <c r="Y36" i="3"/>
  <c r="AA36" i="3" s="1"/>
  <c r="W37" i="3" s="1"/>
  <c r="I37" i="3"/>
  <c r="P36" i="3"/>
  <c r="T36" i="3" s="1"/>
  <c r="L28" i="3"/>
  <c r="K28" i="3"/>
  <c r="M28" i="3" s="1"/>
  <c r="N28" i="3" s="1"/>
  <c r="R28" i="3" s="1"/>
  <c r="AK32" i="3"/>
  <c r="AM32" i="3" s="1"/>
  <c r="AI33" i="3" s="1"/>
  <c r="AJ33" i="3" s="1"/>
  <c r="AN33" i="3" s="1"/>
  <c r="D34" i="3"/>
  <c r="H34" i="3" s="1"/>
  <c r="E34" i="3"/>
  <c r="G34" i="3" s="1"/>
  <c r="C35" i="3" s="1"/>
  <c r="X37" i="3" l="1"/>
  <c r="AB37" i="3" s="1"/>
  <c r="O28" i="3"/>
  <c r="Q28" i="3" s="1"/>
  <c r="J29" i="3" s="1"/>
  <c r="K29" i="3" s="1"/>
  <c r="M29" i="3" s="1"/>
  <c r="L29" i="3"/>
  <c r="I38" i="3"/>
  <c r="P37" i="3"/>
  <c r="T37" i="3" s="1"/>
  <c r="AK33" i="3"/>
  <c r="AM33" i="3" s="1"/>
  <c r="AI34" i="3" s="1"/>
  <c r="D35" i="3"/>
  <c r="H35" i="3" s="1"/>
  <c r="E35" i="3"/>
  <c r="G35" i="3" s="1"/>
  <c r="C36" i="3" s="1"/>
  <c r="Y37" i="3" l="1"/>
  <c r="AA37" i="3" s="1"/>
  <c r="W38" i="3" s="1"/>
  <c r="N29" i="3"/>
  <c r="R29" i="3" s="1"/>
  <c r="I39" i="3"/>
  <c r="P38" i="3"/>
  <c r="T38" i="3" s="1"/>
  <c r="AJ34" i="3"/>
  <c r="AN34" i="3" s="1"/>
  <c r="D36" i="3"/>
  <c r="H36" i="3" s="1"/>
  <c r="X38" i="3" l="1"/>
  <c r="AB38" i="3" s="1"/>
  <c r="O29" i="3"/>
  <c r="Q29" i="3" s="1"/>
  <c r="J30" i="3" s="1"/>
  <c r="K30" i="3" s="1"/>
  <c r="M30" i="3" s="1"/>
  <c r="I40" i="3"/>
  <c r="P39" i="3"/>
  <c r="T39" i="3" s="1"/>
  <c r="E36" i="3"/>
  <c r="G36" i="3" s="1"/>
  <c r="C37" i="3" s="1"/>
  <c r="D37" i="3" s="1"/>
  <c r="H37" i="3" s="1"/>
  <c r="AK34" i="3"/>
  <c r="AM34" i="3" s="1"/>
  <c r="AI35" i="3" s="1"/>
  <c r="Y38" i="3" l="1"/>
  <c r="AA38" i="3" s="1"/>
  <c r="W39" i="3" s="1"/>
  <c r="L30" i="3"/>
  <c r="N30" i="3" s="1"/>
  <c r="I41" i="3"/>
  <c r="P40" i="3"/>
  <c r="T40" i="3" s="1"/>
  <c r="AJ35" i="3"/>
  <c r="AN35" i="3" s="1"/>
  <c r="AK35" i="3"/>
  <c r="AM35" i="3" s="1"/>
  <c r="AI36" i="3" s="1"/>
  <c r="E37" i="3"/>
  <c r="G37" i="3" s="1"/>
  <c r="C38" i="3" s="1"/>
  <c r="X39" i="3" l="1"/>
  <c r="AB39" i="3" s="1"/>
  <c r="Y39" i="3"/>
  <c r="AA39" i="3" s="1"/>
  <c r="W40" i="3" s="1"/>
  <c r="R30" i="3"/>
  <c r="O30" i="3"/>
  <c r="Q30" i="3" s="1"/>
  <c r="J31" i="3" s="1"/>
  <c r="I42" i="3"/>
  <c r="P41" i="3"/>
  <c r="T41" i="3" s="1"/>
  <c r="AJ36" i="3"/>
  <c r="AN36" i="3" s="1"/>
  <c r="D38" i="3"/>
  <c r="H38" i="3" s="1"/>
  <c r="X40" i="3" l="1"/>
  <c r="AB40" i="3" s="1"/>
  <c r="Y40" i="3"/>
  <c r="AA40" i="3" s="1"/>
  <c r="W41" i="3" s="1"/>
  <c r="E38" i="3"/>
  <c r="G38" i="3" s="1"/>
  <c r="C39" i="3" s="1"/>
  <c r="D39" i="3" s="1"/>
  <c r="H39" i="3" s="1"/>
  <c r="I43" i="3"/>
  <c r="P42" i="3"/>
  <c r="T42" i="3" s="1"/>
  <c r="L31" i="3"/>
  <c r="K31" i="3"/>
  <c r="M31" i="3" s="1"/>
  <c r="N31" i="3" s="1"/>
  <c r="R31" i="3" s="1"/>
  <c r="AK36" i="3"/>
  <c r="AM36" i="3" s="1"/>
  <c r="AI37" i="3" s="1"/>
  <c r="AJ37" i="3" s="1"/>
  <c r="AN37" i="3" s="1"/>
  <c r="X41" i="3" l="1"/>
  <c r="AB41" i="3" s="1"/>
  <c r="Y41" i="3"/>
  <c r="AA41" i="3" s="1"/>
  <c r="W42" i="3" s="1"/>
  <c r="O31" i="3"/>
  <c r="Q31" i="3" s="1"/>
  <c r="J32" i="3" s="1"/>
  <c r="K32" i="3"/>
  <c r="M32" i="3" s="1"/>
  <c r="L32" i="3"/>
  <c r="I44" i="3"/>
  <c r="P43" i="3"/>
  <c r="T43" i="3" s="1"/>
  <c r="AK37" i="3"/>
  <c r="AM37" i="3" s="1"/>
  <c r="AI38" i="3" s="1"/>
  <c r="AJ38" i="3" s="1"/>
  <c r="AN38" i="3" s="1"/>
  <c r="E39" i="3"/>
  <c r="G39" i="3" s="1"/>
  <c r="C40" i="3" s="1"/>
  <c r="X42" i="3" l="1"/>
  <c r="AB42" i="3" s="1"/>
  <c r="Y42" i="3"/>
  <c r="AA42" i="3" s="1"/>
  <c r="W43" i="3" s="1"/>
  <c r="N32" i="3"/>
  <c r="R32" i="3"/>
  <c r="O32" i="3"/>
  <c r="Q32" i="3" s="1"/>
  <c r="J33" i="3" s="1"/>
  <c r="I45" i="3"/>
  <c r="P44" i="3"/>
  <c r="T44" i="3" s="1"/>
  <c r="AK38" i="3"/>
  <c r="AM38" i="3" s="1"/>
  <c r="AI39" i="3" s="1"/>
  <c r="AJ39" i="3" s="1"/>
  <c r="AN39" i="3" s="1"/>
  <c r="D40" i="3"/>
  <c r="H40" i="3" s="1"/>
  <c r="X43" i="3" l="1"/>
  <c r="AB43" i="3" s="1"/>
  <c r="Y43" i="3"/>
  <c r="AA43" i="3" s="1"/>
  <c r="W44" i="3" s="1"/>
  <c r="I46" i="3"/>
  <c r="P45" i="3"/>
  <c r="T45" i="3" s="1"/>
  <c r="K33" i="3"/>
  <c r="M33" i="3" s="1"/>
  <c r="L33" i="3"/>
  <c r="AK39" i="3"/>
  <c r="AM39" i="3" s="1"/>
  <c r="AI40" i="3" s="1"/>
  <c r="E40" i="3"/>
  <c r="G40" i="3" s="1"/>
  <c r="C41" i="3" s="1"/>
  <c r="X44" i="3" l="1"/>
  <c r="AB44" i="3" s="1"/>
  <c r="Y44" i="3"/>
  <c r="AA44" i="3" s="1"/>
  <c r="W45" i="3" s="1"/>
  <c r="N33" i="3"/>
  <c r="I47" i="3"/>
  <c r="P46" i="3"/>
  <c r="T46" i="3" s="1"/>
  <c r="AJ40" i="3"/>
  <c r="AN40" i="3" s="1"/>
  <c r="D41" i="3"/>
  <c r="H41" i="3" s="1"/>
  <c r="X45" i="3" l="1"/>
  <c r="AB45" i="3" s="1"/>
  <c r="Y45" i="3"/>
  <c r="AA45" i="3" s="1"/>
  <c r="W46" i="3" s="1"/>
  <c r="X46" i="3" s="1"/>
  <c r="AB46" i="3" s="1"/>
  <c r="Y46" i="3"/>
  <c r="AA46" i="3" s="1"/>
  <c r="W47" i="3" s="1"/>
  <c r="I48" i="3"/>
  <c r="P47" i="3"/>
  <c r="T47" i="3" s="1"/>
  <c r="R33" i="3"/>
  <c r="O33" i="3"/>
  <c r="Q33" i="3" s="1"/>
  <c r="J34" i="3" s="1"/>
  <c r="AK40" i="3"/>
  <c r="AM40" i="3" s="1"/>
  <c r="AI41" i="3" s="1"/>
  <c r="AJ41" i="3" s="1"/>
  <c r="AN41" i="3" s="1"/>
  <c r="E41" i="3"/>
  <c r="G41" i="3" s="1"/>
  <c r="C42" i="3" s="1"/>
  <c r="X47" i="3" l="1"/>
  <c r="AB47" i="3" s="1"/>
  <c r="Y47" i="3"/>
  <c r="AA47" i="3" s="1"/>
  <c r="W48" i="3" s="1"/>
  <c r="L34" i="3"/>
  <c r="K34" i="3"/>
  <c r="M34" i="3" s="1"/>
  <c r="I49" i="3"/>
  <c r="P48" i="3"/>
  <c r="T48" i="3" s="1"/>
  <c r="AK41" i="3"/>
  <c r="AM41" i="3" s="1"/>
  <c r="AI42" i="3" s="1"/>
  <c r="AJ42" i="3" s="1"/>
  <c r="AN42" i="3" s="1"/>
  <c r="D42" i="3"/>
  <c r="H42" i="3" s="1"/>
  <c r="X48" i="3" l="1"/>
  <c r="AB48" i="3" s="1"/>
  <c r="Y48" i="3"/>
  <c r="AA48" i="3" s="1"/>
  <c r="W49" i="3" s="1"/>
  <c r="N34" i="3"/>
  <c r="I50" i="3"/>
  <c r="P49" i="3"/>
  <c r="T49" i="3" s="1"/>
  <c r="AK42" i="3"/>
  <c r="AM42" i="3" s="1"/>
  <c r="AI43" i="3" s="1"/>
  <c r="AJ43" i="3" s="1"/>
  <c r="AN43" i="3" s="1"/>
  <c r="E42" i="3"/>
  <c r="G42" i="3" s="1"/>
  <c r="C43" i="3" s="1"/>
  <c r="D43" i="3" s="1"/>
  <c r="H43" i="3" s="1"/>
  <c r="X49" i="3" l="1"/>
  <c r="AB49" i="3" s="1"/>
  <c r="Y49" i="3"/>
  <c r="AA49" i="3" s="1"/>
  <c r="W50" i="3" s="1"/>
  <c r="R34" i="3"/>
  <c r="O34" i="3"/>
  <c r="Q34" i="3" s="1"/>
  <c r="J35" i="3" s="1"/>
  <c r="I51" i="3"/>
  <c r="P50" i="3"/>
  <c r="T50" i="3" s="1"/>
  <c r="E43" i="3"/>
  <c r="G43" i="3" s="1"/>
  <c r="C44" i="3" s="1"/>
  <c r="AK43" i="3"/>
  <c r="AM43" i="3" s="1"/>
  <c r="AI44" i="3" s="1"/>
  <c r="AJ44" i="3" s="1"/>
  <c r="D44" i="3"/>
  <c r="H44" i="3" s="1"/>
  <c r="X50" i="3" l="1"/>
  <c r="AB50" i="3" s="1"/>
  <c r="K35" i="3"/>
  <c r="M35" i="3" s="1"/>
  <c r="L35" i="3"/>
  <c r="AN44" i="3"/>
  <c r="AK44" i="3"/>
  <c r="AM44" i="3" s="1"/>
  <c r="AI45" i="3" s="1"/>
  <c r="AJ45" i="3" s="1"/>
  <c r="AN45" i="3" s="1"/>
  <c r="E44" i="3"/>
  <c r="G44" i="3" s="1"/>
  <c r="C45" i="3" s="1"/>
  <c r="D45" i="3" s="1"/>
  <c r="H45" i="3" s="1"/>
  <c r="I52" i="3"/>
  <c r="P51" i="3"/>
  <c r="T51" i="3" s="1"/>
  <c r="Y50" i="3" l="1"/>
  <c r="AA50" i="3" s="1"/>
  <c r="W51" i="3" s="1"/>
  <c r="N35" i="3"/>
  <c r="R35" i="3" s="1"/>
  <c r="O35" i="3"/>
  <c r="Q35" i="3" s="1"/>
  <c r="J36" i="3" s="1"/>
  <c r="K36" i="3" s="1"/>
  <c r="M36" i="3" s="1"/>
  <c r="AK45" i="3"/>
  <c r="AM45" i="3" s="1"/>
  <c r="AI46" i="3" s="1"/>
  <c r="I53" i="3"/>
  <c r="P52" i="3"/>
  <c r="T52" i="3" s="1"/>
  <c r="AJ46" i="3"/>
  <c r="AN46" i="3" s="1"/>
  <c r="E45" i="3"/>
  <c r="G45" i="3" s="1"/>
  <c r="C46" i="3" s="1"/>
  <c r="D46" i="3" s="1"/>
  <c r="H46" i="3" s="1"/>
  <c r="X51" i="3" l="1"/>
  <c r="AB51" i="3" s="1"/>
  <c r="Y51" i="3"/>
  <c r="AA51" i="3" s="1"/>
  <c r="W52" i="3" s="1"/>
  <c r="AK46" i="3"/>
  <c r="AM46" i="3" s="1"/>
  <c r="AI47" i="3" s="1"/>
  <c r="L36" i="3"/>
  <c r="N36" i="3" s="1"/>
  <c r="I54" i="3"/>
  <c r="P53" i="3"/>
  <c r="T53" i="3" s="1"/>
  <c r="AJ47" i="3"/>
  <c r="AN47" i="3" s="1"/>
  <c r="E46" i="3"/>
  <c r="G46" i="3" s="1"/>
  <c r="C47" i="3" s="1"/>
  <c r="D47" i="3" s="1"/>
  <c r="H47" i="3" s="1"/>
  <c r="X52" i="3" l="1"/>
  <c r="AB52" i="3" s="1"/>
  <c r="Y52" i="3"/>
  <c r="AA52" i="3" s="1"/>
  <c r="W53" i="3" s="1"/>
  <c r="R36" i="3"/>
  <c r="O36" i="3"/>
  <c r="Q36" i="3" s="1"/>
  <c r="J37" i="3" s="1"/>
  <c r="I55" i="3"/>
  <c r="P54" i="3"/>
  <c r="T54" i="3" s="1"/>
  <c r="AK47" i="3"/>
  <c r="AM47" i="3" s="1"/>
  <c r="AI48" i="3" s="1"/>
  <c r="E47" i="3"/>
  <c r="G47" i="3" s="1"/>
  <c r="C48" i="3" s="1"/>
  <c r="X53" i="3" l="1"/>
  <c r="AB53" i="3" s="1"/>
  <c r="I56" i="3"/>
  <c r="P55" i="3"/>
  <c r="T55" i="3" s="1"/>
  <c r="L37" i="3"/>
  <c r="K37" i="3"/>
  <c r="M37" i="3" s="1"/>
  <c r="N37" i="3" s="1"/>
  <c r="R37" i="3" s="1"/>
  <c r="AJ48" i="3"/>
  <c r="AN48" i="3" s="1"/>
  <c r="D48" i="3"/>
  <c r="H48" i="3" s="1"/>
  <c r="Y53" i="3" l="1"/>
  <c r="AA53" i="3" s="1"/>
  <c r="W54" i="3" s="1"/>
  <c r="O37" i="3"/>
  <c r="Q37" i="3" s="1"/>
  <c r="J38" i="3" s="1"/>
  <c r="E48" i="3"/>
  <c r="G48" i="3" s="1"/>
  <c r="C49" i="3" s="1"/>
  <c r="D49" i="3" s="1"/>
  <c r="H49" i="3" s="1"/>
  <c r="I57" i="3"/>
  <c r="P56" i="3"/>
  <c r="T56" i="3" s="1"/>
  <c r="K38" i="3"/>
  <c r="M38" i="3" s="1"/>
  <c r="L38" i="3"/>
  <c r="AK48" i="3"/>
  <c r="AM48" i="3" s="1"/>
  <c r="AI49" i="3" s="1"/>
  <c r="AJ49" i="3" s="1"/>
  <c r="X54" i="3" l="1"/>
  <c r="AB54" i="3" s="1"/>
  <c r="I58" i="3"/>
  <c r="P57" i="3"/>
  <c r="T57" i="3" s="1"/>
  <c r="N38" i="3"/>
  <c r="AN49" i="3"/>
  <c r="AK49" i="3"/>
  <c r="AM49" i="3" s="1"/>
  <c r="AI50" i="3" s="1"/>
  <c r="AJ50" i="3" s="1"/>
  <c r="E49" i="3"/>
  <c r="G49" i="3" s="1"/>
  <c r="C50" i="3" s="1"/>
  <c r="Y54" i="3" l="1"/>
  <c r="AA54" i="3" s="1"/>
  <c r="W55" i="3" s="1"/>
  <c r="I59" i="3"/>
  <c r="P58" i="3"/>
  <c r="T58" i="3" s="1"/>
  <c r="R38" i="3"/>
  <c r="O38" i="3"/>
  <c r="Q38" i="3" s="1"/>
  <c r="J39" i="3" s="1"/>
  <c r="AN50" i="3"/>
  <c r="AK50" i="3"/>
  <c r="AM50" i="3" s="1"/>
  <c r="AI51" i="3" s="1"/>
  <c r="AJ51" i="3" s="1"/>
  <c r="D50" i="3"/>
  <c r="H50" i="3" s="1"/>
  <c r="X55" i="3" l="1"/>
  <c r="AB55" i="3" s="1"/>
  <c r="I60" i="3"/>
  <c r="P59" i="3"/>
  <c r="T59" i="3" s="1"/>
  <c r="K39" i="3"/>
  <c r="M39" i="3" s="1"/>
  <c r="L39" i="3"/>
  <c r="AN51" i="3"/>
  <c r="AK51" i="3"/>
  <c r="AM51" i="3" s="1"/>
  <c r="AI52" i="3" s="1"/>
  <c r="AJ52" i="3" s="1"/>
  <c r="AN52" i="3" s="1"/>
  <c r="E50" i="3"/>
  <c r="G50" i="3" s="1"/>
  <c r="C51" i="3" s="1"/>
  <c r="Y55" i="3" l="1"/>
  <c r="AA55" i="3" s="1"/>
  <c r="W56" i="3" s="1"/>
  <c r="I61" i="3"/>
  <c r="P60" i="3"/>
  <c r="T60" i="3" s="1"/>
  <c r="N39" i="3"/>
  <c r="AK52" i="3"/>
  <c r="AM52" i="3" s="1"/>
  <c r="AI53" i="3" s="1"/>
  <c r="D51" i="3"/>
  <c r="H51" i="3" s="1"/>
  <c r="X56" i="3" l="1"/>
  <c r="AB56" i="3" s="1"/>
  <c r="I62" i="3"/>
  <c r="P61" i="3"/>
  <c r="T61" i="3" s="1"/>
  <c r="R39" i="3"/>
  <c r="O39" i="3"/>
  <c r="Q39" i="3" s="1"/>
  <c r="J40" i="3" s="1"/>
  <c r="E51" i="3"/>
  <c r="G51" i="3" s="1"/>
  <c r="C52" i="3" s="1"/>
  <c r="D52" i="3" s="1"/>
  <c r="H52" i="3" s="1"/>
  <c r="AJ53" i="3"/>
  <c r="AN53" i="3" s="1"/>
  <c r="Y56" i="3" l="1"/>
  <c r="AA56" i="3" s="1"/>
  <c r="W57" i="3" s="1"/>
  <c r="I63" i="3"/>
  <c r="P62" i="3"/>
  <c r="T62" i="3" s="1"/>
  <c r="K40" i="3"/>
  <c r="M40" i="3" s="1"/>
  <c r="L40" i="3"/>
  <c r="E52" i="3"/>
  <c r="G52" i="3" s="1"/>
  <c r="C53" i="3" s="1"/>
  <c r="D53" i="3" s="1"/>
  <c r="H53" i="3" s="1"/>
  <c r="AK53" i="3"/>
  <c r="AM53" i="3" s="1"/>
  <c r="AI54" i="3" s="1"/>
  <c r="AJ54" i="3" s="1"/>
  <c r="AN54" i="3" s="1"/>
  <c r="X57" i="3" l="1"/>
  <c r="AB57" i="3" s="1"/>
  <c r="Y57" i="3"/>
  <c r="AA57" i="3" s="1"/>
  <c r="W58" i="3" s="1"/>
  <c r="I64" i="3"/>
  <c r="P63" i="3"/>
  <c r="T63" i="3" s="1"/>
  <c r="N40" i="3"/>
  <c r="AK54" i="3"/>
  <c r="AM54" i="3" s="1"/>
  <c r="AI55" i="3" s="1"/>
  <c r="E53" i="3"/>
  <c r="G53" i="3" s="1"/>
  <c r="C54" i="3" s="1"/>
  <c r="D54" i="3" s="1"/>
  <c r="X58" i="3" l="1"/>
  <c r="AB58" i="3" s="1"/>
  <c r="Y58" i="3"/>
  <c r="AA58" i="3" s="1"/>
  <c r="W59" i="3" s="1"/>
  <c r="I65" i="3"/>
  <c r="P64" i="3"/>
  <c r="T64" i="3" s="1"/>
  <c r="R40" i="3"/>
  <c r="O40" i="3"/>
  <c r="Q40" i="3" s="1"/>
  <c r="J41" i="3" s="1"/>
  <c r="AJ55" i="3"/>
  <c r="AN55" i="3" s="1"/>
  <c r="H54" i="3"/>
  <c r="E54" i="3"/>
  <c r="G54" i="3" s="1"/>
  <c r="C55" i="3" s="1"/>
  <c r="X59" i="3" l="1"/>
  <c r="AB59" i="3" s="1"/>
  <c r="I66" i="3"/>
  <c r="P65" i="3"/>
  <c r="T65" i="3" s="1"/>
  <c r="K41" i="3"/>
  <c r="M41" i="3" s="1"/>
  <c r="L41" i="3"/>
  <c r="AK55" i="3"/>
  <c r="AM55" i="3" s="1"/>
  <c r="AI56" i="3" s="1"/>
  <c r="AJ56" i="3" s="1"/>
  <c r="AN56" i="3" s="1"/>
  <c r="D55" i="3"/>
  <c r="H55" i="3" s="1"/>
  <c r="Y59" i="3" l="1"/>
  <c r="AA59" i="3" s="1"/>
  <c r="W60" i="3" s="1"/>
  <c r="I67" i="3"/>
  <c r="P66" i="3"/>
  <c r="T66" i="3" s="1"/>
  <c r="N41" i="3"/>
  <c r="AK56" i="3"/>
  <c r="AM56" i="3" s="1"/>
  <c r="AI57" i="3" s="1"/>
  <c r="AJ57" i="3" s="1"/>
  <c r="AN57" i="3" s="1"/>
  <c r="E55" i="3"/>
  <c r="G55" i="3" s="1"/>
  <c r="C56" i="3" s="1"/>
  <c r="X60" i="3" l="1"/>
  <c r="AB60" i="3" s="1"/>
  <c r="AK57" i="3"/>
  <c r="AM57" i="3" s="1"/>
  <c r="AI58" i="3" s="1"/>
  <c r="AJ58" i="3" s="1"/>
  <c r="AN58" i="3" s="1"/>
  <c r="I68" i="3"/>
  <c r="P67" i="3"/>
  <c r="T67" i="3" s="1"/>
  <c r="R41" i="3"/>
  <c r="O41" i="3"/>
  <c r="Q41" i="3" s="1"/>
  <c r="J42" i="3" s="1"/>
  <c r="D56" i="3"/>
  <c r="H56" i="3" s="1"/>
  <c r="Y60" i="3" l="1"/>
  <c r="AA60" i="3" s="1"/>
  <c r="W61" i="3" s="1"/>
  <c r="I69" i="3"/>
  <c r="P68" i="3"/>
  <c r="T68" i="3" s="1"/>
  <c r="K42" i="3"/>
  <c r="M42" i="3" s="1"/>
  <c r="L42" i="3"/>
  <c r="AK58" i="3"/>
  <c r="AM58" i="3" s="1"/>
  <c r="AI59" i="3" s="1"/>
  <c r="AJ59" i="3" s="1"/>
  <c r="AN59" i="3" s="1"/>
  <c r="E56" i="3"/>
  <c r="G56" i="3" s="1"/>
  <c r="C57" i="3" s="1"/>
  <c r="D57" i="3" s="1"/>
  <c r="H57" i="3" s="1"/>
  <c r="X61" i="3" l="1"/>
  <c r="AB61" i="3" s="1"/>
  <c r="I70" i="3"/>
  <c r="P69" i="3"/>
  <c r="T69" i="3" s="1"/>
  <c r="N42" i="3"/>
  <c r="AK59" i="3"/>
  <c r="AM59" i="3" s="1"/>
  <c r="AI60" i="3" s="1"/>
  <c r="AJ60" i="3" s="1"/>
  <c r="AN60" i="3" s="1"/>
  <c r="E57" i="3"/>
  <c r="G57" i="3" s="1"/>
  <c r="C58" i="3" s="1"/>
  <c r="D58" i="3" s="1"/>
  <c r="H58" i="3" s="1"/>
  <c r="Y61" i="3" l="1"/>
  <c r="AA61" i="3" s="1"/>
  <c r="W62" i="3" s="1"/>
  <c r="I71" i="3"/>
  <c r="P70" i="3"/>
  <c r="T70" i="3" s="1"/>
  <c r="R42" i="3"/>
  <c r="O42" i="3"/>
  <c r="Q42" i="3" s="1"/>
  <c r="J43" i="3" s="1"/>
  <c r="AK60" i="3"/>
  <c r="AM60" i="3" s="1"/>
  <c r="AI61" i="3" s="1"/>
  <c r="AJ61" i="3" s="1"/>
  <c r="E58" i="3"/>
  <c r="G58" i="3" s="1"/>
  <c r="C59" i="3" s="1"/>
  <c r="X62" i="3" l="1"/>
  <c r="AB62" i="3" s="1"/>
  <c r="I72" i="3"/>
  <c r="P71" i="3"/>
  <c r="T71" i="3" s="1"/>
  <c r="K43" i="3"/>
  <c r="M43" i="3" s="1"/>
  <c r="L43" i="3"/>
  <c r="AN61" i="3"/>
  <c r="AK61" i="3"/>
  <c r="AM61" i="3" s="1"/>
  <c r="AI62" i="3" s="1"/>
  <c r="AJ62" i="3" s="1"/>
  <c r="AN62" i="3" s="1"/>
  <c r="D59" i="3"/>
  <c r="H59" i="3" s="1"/>
  <c r="E59" i="3"/>
  <c r="G59" i="3" s="1"/>
  <c r="C60" i="3" s="1"/>
  <c r="Y62" i="3" l="1"/>
  <c r="AA62" i="3" s="1"/>
  <c r="W63" i="3" s="1"/>
  <c r="I73" i="3"/>
  <c r="P72" i="3"/>
  <c r="T72" i="3" s="1"/>
  <c r="N43" i="3"/>
  <c r="AK62" i="3"/>
  <c r="AM62" i="3" s="1"/>
  <c r="AI63" i="3" s="1"/>
  <c r="AJ63" i="3" s="1"/>
  <c r="AN63" i="3" s="1"/>
  <c r="D60" i="3"/>
  <c r="H60" i="3" s="1"/>
  <c r="X63" i="3" l="1"/>
  <c r="AB63" i="3" s="1"/>
  <c r="Y63" i="3"/>
  <c r="AA63" i="3" s="1"/>
  <c r="W64" i="3" s="1"/>
  <c r="E60" i="3"/>
  <c r="G60" i="3" s="1"/>
  <c r="C61" i="3" s="1"/>
  <c r="D61" i="3" s="1"/>
  <c r="H61" i="3" s="1"/>
  <c r="I74" i="3"/>
  <c r="P73" i="3"/>
  <c r="T73" i="3" s="1"/>
  <c r="R43" i="3"/>
  <c r="O43" i="3"/>
  <c r="Q43" i="3" s="1"/>
  <c r="J44" i="3" s="1"/>
  <c r="AK63" i="3"/>
  <c r="AM63" i="3" s="1"/>
  <c r="AI64" i="3" s="1"/>
  <c r="AJ64" i="3" s="1"/>
  <c r="AN64" i="3" s="1"/>
  <c r="X64" i="3" l="1"/>
  <c r="AB64" i="3" s="1"/>
  <c r="Y64" i="3"/>
  <c r="AA64" i="3" s="1"/>
  <c r="W65" i="3" s="1"/>
  <c r="I75" i="3"/>
  <c r="P74" i="3"/>
  <c r="T74" i="3" s="1"/>
  <c r="K44" i="3"/>
  <c r="M44" i="3" s="1"/>
  <c r="L44" i="3"/>
  <c r="AK64" i="3"/>
  <c r="AM64" i="3" s="1"/>
  <c r="AI65" i="3" s="1"/>
  <c r="AJ65" i="3" s="1"/>
  <c r="AN65" i="3" s="1"/>
  <c r="E61" i="3"/>
  <c r="G61" i="3" s="1"/>
  <c r="C62" i="3" s="1"/>
  <c r="X65" i="3" l="1"/>
  <c r="AB65" i="3" s="1"/>
  <c r="I76" i="3"/>
  <c r="P75" i="3"/>
  <c r="T75" i="3" s="1"/>
  <c r="N44" i="3"/>
  <c r="D62" i="3"/>
  <c r="H62" i="3" s="1"/>
  <c r="AK65" i="3"/>
  <c r="AM65" i="3" s="1"/>
  <c r="AI66" i="3" s="1"/>
  <c r="Y65" i="3" l="1"/>
  <c r="AA65" i="3" s="1"/>
  <c r="W66" i="3" s="1"/>
  <c r="E62" i="3"/>
  <c r="G62" i="3" s="1"/>
  <c r="C63" i="3" s="1"/>
  <c r="D63" i="3" s="1"/>
  <c r="H63" i="3" s="1"/>
  <c r="I77" i="3"/>
  <c r="P76" i="3"/>
  <c r="T76" i="3" s="1"/>
  <c r="R44" i="3"/>
  <c r="O44" i="3"/>
  <c r="Q44" i="3" s="1"/>
  <c r="J45" i="3" s="1"/>
  <c r="AJ66" i="3"/>
  <c r="AN66" i="3" s="1"/>
  <c r="X66" i="3" l="1"/>
  <c r="AB66" i="3" s="1"/>
  <c r="I78" i="3"/>
  <c r="P77" i="3"/>
  <c r="T77" i="3" s="1"/>
  <c r="K45" i="3"/>
  <c r="M45" i="3" s="1"/>
  <c r="L45" i="3"/>
  <c r="AK66" i="3"/>
  <c r="AM66" i="3" s="1"/>
  <c r="AI67" i="3" s="1"/>
  <c r="AJ67" i="3" s="1"/>
  <c r="AN67" i="3" s="1"/>
  <c r="E63" i="3"/>
  <c r="G63" i="3" s="1"/>
  <c r="C64" i="3" s="1"/>
  <c r="D64" i="3" s="1"/>
  <c r="H64" i="3" s="1"/>
  <c r="Y66" i="3" l="1"/>
  <c r="AA66" i="3" s="1"/>
  <c r="W67" i="3" s="1"/>
  <c r="X67" i="3" s="1"/>
  <c r="AB67" i="3" s="1"/>
  <c r="I79" i="3"/>
  <c r="P78" i="3"/>
  <c r="T78" i="3" s="1"/>
  <c r="N45" i="3"/>
  <c r="E64" i="3"/>
  <c r="G64" i="3" s="1"/>
  <c r="C65" i="3" s="1"/>
  <c r="D65" i="3" s="1"/>
  <c r="H65" i="3" s="1"/>
  <c r="AK67" i="3"/>
  <c r="AM67" i="3" s="1"/>
  <c r="AI68" i="3" s="1"/>
  <c r="Y67" i="3" l="1"/>
  <c r="AA67" i="3" s="1"/>
  <c r="W68" i="3" s="1"/>
  <c r="I80" i="3"/>
  <c r="P79" i="3"/>
  <c r="T79" i="3" s="1"/>
  <c r="R45" i="3"/>
  <c r="O45" i="3"/>
  <c r="Q45" i="3" s="1"/>
  <c r="J46" i="3" s="1"/>
  <c r="E65" i="3"/>
  <c r="G65" i="3" s="1"/>
  <c r="C66" i="3" s="1"/>
  <c r="D66" i="3" s="1"/>
  <c r="H66" i="3" s="1"/>
  <c r="AJ68" i="3"/>
  <c r="AN68" i="3" s="1"/>
  <c r="X68" i="3" l="1"/>
  <c r="AB68" i="3" s="1"/>
  <c r="AK68" i="3"/>
  <c r="AM68" i="3" s="1"/>
  <c r="AI69" i="3" s="1"/>
  <c r="I81" i="3"/>
  <c r="P80" i="3"/>
  <c r="T80" i="3" s="1"/>
  <c r="L46" i="3"/>
  <c r="K46" i="3"/>
  <c r="M46" i="3" s="1"/>
  <c r="N46" i="3" s="1"/>
  <c r="R46" i="3" s="1"/>
  <c r="E66" i="3"/>
  <c r="G66" i="3" s="1"/>
  <c r="C67" i="3" s="1"/>
  <c r="D67" i="3" s="1"/>
  <c r="H67" i="3" s="1"/>
  <c r="AJ69" i="3"/>
  <c r="AN69" i="3" s="1"/>
  <c r="Y68" i="3" l="1"/>
  <c r="AA68" i="3" s="1"/>
  <c r="W69" i="3" s="1"/>
  <c r="AK69" i="3"/>
  <c r="AM69" i="3" s="1"/>
  <c r="AI70" i="3" s="1"/>
  <c r="O46" i="3"/>
  <c r="Q46" i="3" s="1"/>
  <c r="J47" i="3" s="1"/>
  <c r="K47" i="3" s="1"/>
  <c r="M47" i="3" s="1"/>
  <c r="I82" i="3"/>
  <c r="P81" i="3"/>
  <c r="T81" i="3" s="1"/>
  <c r="E67" i="3"/>
  <c r="G67" i="3" s="1"/>
  <c r="C68" i="3" s="1"/>
  <c r="D68" i="3" s="1"/>
  <c r="H68" i="3" s="1"/>
  <c r="AJ70" i="3"/>
  <c r="AN70" i="3" s="1"/>
  <c r="AK70" i="3"/>
  <c r="AM70" i="3" s="1"/>
  <c r="AI71" i="3" s="1"/>
  <c r="X69" i="3" l="1"/>
  <c r="AB69" i="3" s="1"/>
  <c r="L47" i="3"/>
  <c r="I83" i="3"/>
  <c r="P82" i="3"/>
  <c r="T82" i="3" s="1"/>
  <c r="E68" i="3"/>
  <c r="G68" i="3" s="1"/>
  <c r="C69" i="3" s="1"/>
  <c r="N47" i="3"/>
  <c r="AJ71" i="3"/>
  <c r="AN71" i="3" s="1"/>
  <c r="D69" i="3"/>
  <c r="H69" i="3" s="1"/>
  <c r="Y69" i="3" l="1"/>
  <c r="AA69" i="3" s="1"/>
  <c r="W70" i="3" s="1"/>
  <c r="X70" i="3"/>
  <c r="AB70" i="3" s="1"/>
  <c r="E69" i="3"/>
  <c r="G69" i="3" s="1"/>
  <c r="C70" i="3" s="1"/>
  <c r="D70" i="3" s="1"/>
  <c r="H70" i="3" s="1"/>
  <c r="I84" i="3"/>
  <c r="P83" i="3"/>
  <c r="T83" i="3" s="1"/>
  <c r="R47" i="3"/>
  <c r="O47" i="3"/>
  <c r="Q47" i="3" s="1"/>
  <c r="J48" i="3" s="1"/>
  <c r="AK71" i="3"/>
  <c r="AM71" i="3" s="1"/>
  <c r="AI72" i="3" s="1"/>
  <c r="AJ72" i="3" s="1"/>
  <c r="AN72" i="3" s="1"/>
  <c r="Y70" i="3" l="1"/>
  <c r="AA70" i="3" s="1"/>
  <c r="W71" i="3" s="1"/>
  <c r="X71" i="3"/>
  <c r="AB71" i="3" s="1"/>
  <c r="Y71" i="3"/>
  <c r="AA71" i="3" s="1"/>
  <c r="W72" i="3" s="1"/>
  <c r="I85" i="3"/>
  <c r="P84" i="3"/>
  <c r="T84" i="3" s="1"/>
  <c r="K48" i="3"/>
  <c r="M48" i="3" s="1"/>
  <c r="L48" i="3"/>
  <c r="AK72" i="3"/>
  <c r="AM72" i="3" s="1"/>
  <c r="AI73" i="3" s="1"/>
  <c r="AJ73" i="3" s="1"/>
  <c r="E70" i="3"/>
  <c r="G70" i="3" s="1"/>
  <c r="C71" i="3" s="1"/>
  <c r="D71" i="3" s="1"/>
  <c r="H71" i="3" s="1"/>
  <c r="X72" i="3" l="1"/>
  <c r="AB72" i="3" s="1"/>
  <c r="I86" i="3"/>
  <c r="P85" i="3"/>
  <c r="T85" i="3" s="1"/>
  <c r="N48" i="3"/>
  <c r="AN73" i="3"/>
  <c r="AK73" i="3"/>
  <c r="AM73" i="3" s="1"/>
  <c r="AI74" i="3" s="1"/>
  <c r="AJ74" i="3" s="1"/>
  <c r="AN74" i="3" s="1"/>
  <c r="E71" i="3"/>
  <c r="G71" i="3" s="1"/>
  <c r="C72" i="3" s="1"/>
  <c r="D72" i="3" s="1"/>
  <c r="Y72" i="3" l="1"/>
  <c r="AA72" i="3" s="1"/>
  <c r="W73" i="3" s="1"/>
  <c r="X73" i="3" s="1"/>
  <c r="AB73" i="3" s="1"/>
  <c r="I87" i="3"/>
  <c r="P86" i="3"/>
  <c r="T86" i="3" s="1"/>
  <c r="AK74" i="3"/>
  <c r="AM74" i="3" s="1"/>
  <c r="AI75" i="3" s="1"/>
  <c r="R48" i="3"/>
  <c r="O48" i="3"/>
  <c r="Q48" i="3" s="1"/>
  <c r="J49" i="3" s="1"/>
  <c r="H72" i="3"/>
  <c r="E72" i="3"/>
  <c r="G72" i="3" s="1"/>
  <c r="C73" i="3" s="1"/>
  <c r="D73" i="3" s="1"/>
  <c r="H73" i="3" s="1"/>
  <c r="AJ75" i="3"/>
  <c r="AN75" i="3" s="1"/>
  <c r="Y73" i="3" l="1"/>
  <c r="AA73" i="3" s="1"/>
  <c r="W74" i="3" s="1"/>
  <c r="I88" i="3"/>
  <c r="P87" i="3"/>
  <c r="T87" i="3" s="1"/>
  <c r="K49" i="3"/>
  <c r="M49" i="3" s="1"/>
  <c r="L49" i="3"/>
  <c r="E73" i="3"/>
  <c r="G73" i="3" s="1"/>
  <c r="C74" i="3" s="1"/>
  <c r="D74" i="3" s="1"/>
  <c r="H74" i="3" s="1"/>
  <c r="AK75" i="3"/>
  <c r="AM75" i="3" s="1"/>
  <c r="AI76" i="3" s="1"/>
  <c r="AJ76" i="3" s="1"/>
  <c r="X74" i="3" l="1"/>
  <c r="AB74" i="3" s="1"/>
  <c r="AN76" i="3"/>
  <c r="AK76" i="3"/>
  <c r="AM76" i="3" s="1"/>
  <c r="AI77" i="3" s="1"/>
  <c r="AJ77" i="3" s="1"/>
  <c r="AN77" i="3" s="1"/>
  <c r="I89" i="3"/>
  <c r="P88" i="3"/>
  <c r="T88" i="3" s="1"/>
  <c r="N49" i="3"/>
  <c r="E74" i="3"/>
  <c r="G74" i="3" s="1"/>
  <c r="C75" i="3" s="1"/>
  <c r="Y74" i="3" l="1"/>
  <c r="AA74" i="3" s="1"/>
  <c r="W75" i="3" s="1"/>
  <c r="X75" i="3"/>
  <c r="AB75" i="3" s="1"/>
  <c r="I90" i="3"/>
  <c r="P89" i="3"/>
  <c r="T89" i="3" s="1"/>
  <c r="R49" i="3"/>
  <c r="O49" i="3"/>
  <c r="Q49" i="3" s="1"/>
  <c r="J50" i="3" s="1"/>
  <c r="AK77" i="3"/>
  <c r="AM77" i="3" s="1"/>
  <c r="AI78" i="3" s="1"/>
  <c r="AJ78" i="3" s="1"/>
  <c r="AN78" i="3" s="1"/>
  <c r="D75" i="3"/>
  <c r="H75" i="3" s="1"/>
  <c r="Y75" i="3" l="1"/>
  <c r="AA75" i="3" s="1"/>
  <c r="W76" i="3" s="1"/>
  <c r="X76" i="3"/>
  <c r="AB76" i="3" s="1"/>
  <c r="Y76" i="3"/>
  <c r="AA76" i="3" s="1"/>
  <c r="W77" i="3" s="1"/>
  <c r="E75" i="3"/>
  <c r="G75" i="3" s="1"/>
  <c r="C76" i="3" s="1"/>
  <c r="D76" i="3" s="1"/>
  <c r="H76" i="3" s="1"/>
  <c r="I91" i="3"/>
  <c r="P90" i="3"/>
  <c r="T90" i="3" s="1"/>
  <c r="K50" i="3"/>
  <c r="M50" i="3" s="1"/>
  <c r="L50" i="3"/>
  <c r="AK78" i="3"/>
  <c r="AM78" i="3" s="1"/>
  <c r="AI79" i="3" s="1"/>
  <c r="AJ79" i="3" s="1"/>
  <c r="AN79" i="3" s="1"/>
  <c r="X77" i="3" l="1"/>
  <c r="AB77" i="3" s="1"/>
  <c r="Y77" i="3"/>
  <c r="AA77" i="3" s="1"/>
  <c r="W78" i="3" s="1"/>
  <c r="E76" i="3"/>
  <c r="G76" i="3" s="1"/>
  <c r="C77" i="3" s="1"/>
  <c r="D77" i="3" s="1"/>
  <c r="H77" i="3" s="1"/>
  <c r="I92" i="3"/>
  <c r="P91" i="3"/>
  <c r="T91" i="3" s="1"/>
  <c r="N50" i="3"/>
  <c r="AK79" i="3"/>
  <c r="AM79" i="3" s="1"/>
  <c r="AI80" i="3" s="1"/>
  <c r="AJ80" i="3" s="1"/>
  <c r="AN80" i="3" s="1"/>
  <c r="X78" i="3" l="1"/>
  <c r="AB78" i="3" s="1"/>
  <c r="I93" i="3"/>
  <c r="P92" i="3"/>
  <c r="T92" i="3" s="1"/>
  <c r="R50" i="3"/>
  <c r="O50" i="3"/>
  <c r="Q50" i="3" s="1"/>
  <c r="J51" i="3" s="1"/>
  <c r="AK80" i="3"/>
  <c r="AM80" i="3" s="1"/>
  <c r="AI81" i="3" s="1"/>
  <c r="AJ81" i="3" s="1"/>
  <c r="AN81" i="3" s="1"/>
  <c r="E77" i="3"/>
  <c r="G77" i="3" s="1"/>
  <c r="C78" i="3" s="1"/>
  <c r="D78" i="3" s="1"/>
  <c r="Y78" i="3" l="1"/>
  <c r="AA78" i="3" s="1"/>
  <c r="W79" i="3" s="1"/>
  <c r="I94" i="3"/>
  <c r="P93" i="3"/>
  <c r="T93" i="3" s="1"/>
  <c r="K51" i="3"/>
  <c r="M51" i="3" s="1"/>
  <c r="L51" i="3"/>
  <c r="H78" i="3"/>
  <c r="E78" i="3"/>
  <c r="G78" i="3" s="1"/>
  <c r="C79" i="3" s="1"/>
  <c r="D79" i="3" s="1"/>
  <c r="H79" i="3" s="1"/>
  <c r="AK81" i="3"/>
  <c r="AM81" i="3" s="1"/>
  <c r="AI82" i="3" s="1"/>
  <c r="AJ82" i="3" s="1"/>
  <c r="X79" i="3" l="1"/>
  <c r="AB79" i="3" s="1"/>
  <c r="I95" i="3"/>
  <c r="P94" i="3"/>
  <c r="T94" i="3" s="1"/>
  <c r="N51" i="3"/>
  <c r="AN82" i="3"/>
  <c r="AK82" i="3"/>
  <c r="AM82" i="3" s="1"/>
  <c r="AI83" i="3" s="1"/>
  <c r="AJ83" i="3" s="1"/>
  <c r="AN83" i="3" s="1"/>
  <c r="E79" i="3"/>
  <c r="G79" i="3" s="1"/>
  <c r="C80" i="3" s="1"/>
  <c r="D80" i="3" s="1"/>
  <c r="H80" i="3" s="1"/>
  <c r="Y79" i="3" l="1"/>
  <c r="AA79" i="3" s="1"/>
  <c r="W80" i="3" s="1"/>
  <c r="E80" i="3"/>
  <c r="G80" i="3" s="1"/>
  <c r="C81" i="3" s="1"/>
  <c r="D81" i="3" s="1"/>
  <c r="H81" i="3" s="1"/>
  <c r="I96" i="3"/>
  <c r="P95" i="3"/>
  <c r="T95" i="3" s="1"/>
  <c r="R51" i="3"/>
  <c r="O51" i="3"/>
  <c r="Q51" i="3" s="1"/>
  <c r="J52" i="3" s="1"/>
  <c r="AK83" i="3"/>
  <c r="AM83" i="3" s="1"/>
  <c r="AI84" i="3" s="1"/>
  <c r="AJ84" i="3" s="1"/>
  <c r="AN84" i="3" s="1"/>
  <c r="X80" i="3" l="1"/>
  <c r="AB80" i="3" s="1"/>
  <c r="I97" i="3"/>
  <c r="P96" i="3"/>
  <c r="T96" i="3" s="1"/>
  <c r="K52" i="3"/>
  <c r="M52" i="3" s="1"/>
  <c r="L52" i="3"/>
  <c r="AK84" i="3"/>
  <c r="AM84" i="3" s="1"/>
  <c r="AI85" i="3" s="1"/>
  <c r="AJ85" i="3" s="1"/>
  <c r="E81" i="3"/>
  <c r="G81" i="3" s="1"/>
  <c r="C82" i="3" s="1"/>
  <c r="Y80" i="3" l="1"/>
  <c r="AA80" i="3" s="1"/>
  <c r="W81" i="3" s="1"/>
  <c r="I98" i="3"/>
  <c r="P97" i="3"/>
  <c r="T97" i="3" s="1"/>
  <c r="N52" i="3"/>
  <c r="AN85" i="3"/>
  <c r="AK85" i="3"/>
  <c r="AM85" i="3" s="1"/>
  <c r="AI86" i="3" s="1"/>
  <c r="AJ86" i="3" s="1"/>
  <c r="AN86" i="3" s="1"/>
  <c r="D82" i="3"/>
  <c r="H82" i="3" s="1"/>
  <c r="X81" i="3" l="1"/>
  <c r="AB81" i="3" s="1"/>
  <c r="Y81" i="3"/>
  <c r="AA81" i="3" s="1"/>
  <c r="W82" i="3" s="1"/>
  <c r="E82" i="3"/>
  <c r="G82" i="3" s="1"/>
  <c r="C83" i="3" s="1"/>
  <c r="D83" i="3" s="1"/>
  <c r="H83" i="3" s="1"/>
  <c r="I99" i="3"/>
  <c r="P98" i="3"/>
  <c r="T98" i="3" s="1"/>
  <c r="R52" i="3"/>
  <c r="O52" i="3"/>
  <c r="Q52" i="3" s="1"/>
  <c r="J53" i="3" s="1"/>
  <c r="AK86" i="3"/>
  <c r="AM86" i="3" s="1"/>
  <c r="AI87" i="3" s="1"/>
  <c r="AJ87" i="3" s="1"/>
  <c r="AN87" i="3" s="1"/>
  <c r="X82" i="3" l="1"/>
  <c r="AB82" i="3" s="1"/>
  <c r="Y82" i="3"/>
  <c r="AA82" i="3" s="1"/>
  <c r="W83" i="3" s="1"/>
  <c r="I100" i="3"/>
  <c r="P99" i="3"/>
  <c r="T99" i="3" s="1"/>
  <c r="L53" i="3"/>
  <c r="K53" i="3"/>
  <c r="M53" i="3" s="1"/>
  <c r="N53" i="3" s="1"/>
  <c r="R53" i="3" s="1"/>
  <c r="AK87" i="3"/>
  <c r="AM87" i="3" s="1"/>
  <c r="AI88" i="3" s="1"/>
  <c r="AJ88" i="3" s="1"/>
  <c r="AN88" i="3" s="1"/>
  <c r="E83" i="3"/>
  <c r="G83" i="3" s="1"/>
  <c r="C84" i="3" s="1"/>
  <c r="X83" i="3" l="1"/>
  <c r="AB83" i="3" s="1"/>
  <c r="O53" i="3"/>
  <c r="Q53" i="3" s="1"/>
  <c r="J54" i="3" s="1"/>
  <c r="K54" i="3" s="1"/>
  <c r="M54" i="3" s="1"/>
  <c r="I101" i="3"/>
  <c r="P100" i="3"/>
  <c r="T100" i="3" s="1"/>
  <c r="D84" i="3"/>
  <c r="H84" i="3" s="1"/>
  <c r="AK88" i="3"/>
  <c r="AM88" i="3" s="1"/>
  <c r="AI89" i="3" s="1"/>
  <c r="Y83" i="3" l="1"/>
  <c r="AA83" i="3" s="1"/>
  <c r="W84" i="3" s="1"/>
  <c r="X84" i="3"/>
  <c r="AB84" i="3" s="1"/>
  <c r="L54" i="3"/>
  <c r="N54" i="3" s="1"/>
  <c r="I102" i="3"/>
  <c r="P101" i="3"/>
  <c r="T101" i="3" s="1"/>
  <c r="E84" i="3"/>
  <c r="G84" i="3" s="1"/>
  <c r="C85" i="3" s="1"/>
  <c r="D85" i="3"/>
  <c r="H85" i="3" s="1"/>
  <c r="AJ89" i="3"/>
  <c r="AN89" i="3" s="1"/>
  <c r="Y84" i="3" l="1"/>
  <c r="AA84" i="3" s="1"/>
  <c r="W85" i="3" s="1"/>
  <c r="I103" i="3"/>
  <c r="P102" i="3"/>
  <c r="T102" i="3" s="1"/>
  <c r="R54" i="3"/>
  <c r="O54" i="3"/>
  <c r="Q54" i="3" s="1"/>
  <c r="J55" i="3" s="1"/>
  <c r="AK89" i="3"/>
  <c r="AM89" i="3" s="1"/>
  <c r="AI90" i="3" s="1"/>
  <c r="E85" i="3"/>
  <c r="G85" i="3" s="1"/>
  <c r="C86" i="3" s="1"/>
  <c r="X85" i="3" l="1"/>
  <c r="AB85" i="3" s="1"/>
  <c r="I104" i="3"/>
  <c r="P103" i="3"/>
  <c r="T103" i="3" s="1"/>
  <c r="L55" i="3"/>
  <c r="K55" i="3"/>
  <c r="M55" i="3" s="1"/>
  <c r="N55" i="3" s="1"/>
  <c r="R55" i="3" s="1"/>
  <c r="D86" i="3"/>
  <c r="H86" i="3" s="1"/>
  <c r="AJ90" i="3"/>
  <c r="AN90" i="3" s="1"/>
  <c r="Y85" i="3" l="1"/>
  <c r="AA85" i="3" s="1"/>
  <c r="W86" i="3" s="1"/>
  <c r="X86" i="3" s="1"/>
  <c r="AB86" i="3" s="1"/>
  <c r="O55" i="3"/>
  <c r="Q55" i="3" s="1"/>
  <c r="J56" i="3" s="1"/>
  <c r="K56" i="3" s="1"/>
  <c r="M56" i="3" s="1"/>
  <c r="I105" i="3"/>
  <c r="P104" i="3"/>
  <c r="T104" i="3" s="1"/>
  <c r="AK90" i="3"/>
  <c r="AM90" i="3" s="1"/>
  <c r="AI91" i="3" s="1"/>
  <c r="AJ91" i="3" s="1"/>
  <c r="AN91" i="3" s="1"/>
  <c r="E86" i="3"/>
  <c r="G86" i="3" s="1"/>
  <c r="C87" i="3" s="1"/>
  <c r="Y86" i="3" l="1"/>
  <c r="AA86" i="3" s="1"/>
  <c r="W87" i="3" s="1"/>
  <c r="L56" i="3"/>
  <c r="N56" i="3" s="1"/>
  <c r="I106" i="3"/>
  <c r="P105" i="3"/>
  <c r="T105" i="3" s="1"/>
  <c r="AK91" i="3"/>
  <c r="AM91" i="3" s="1"/>
  <c r="AI92" i="3" s="1"/>
  <c r="AJ92" i="3" s="1"/>
  <c r="AN92" i="3" s="1"/>
  <c r="D87" i="3"/>
  <c r="H87" i="3" s="1"/>
  <c r="X87" i="3" l="1"/>
  <c r="AB87" i="3" s="1"/>
  <c r="I107" i="3"/>
  <c r="P106" i="3"/>
  <c r="T106" i="3" s="1"/>
  <c r="E87" i="3"/>
  <c r="G87" i="3" s="1"/>
  <c r="C88" i="3" s="1"/>
  <c r="R56" i="3"/>
  <c r="O56" i="3"/>
  <c r="Q56" i="3" s="1"/>
  <c r="J57" i="3" s="1"/>
  <c r="AK92" i="3"/>
  <c r="AM92" i="3" s="1"/>
  <c r="AI93" i="3" s="1"/>
  <c r="D88" i="3"/>
  <c r="H88" i="3" s="1"/>
  <c r="E88" i="3"/>
  <c r="G88" i="3" s="1"/>
  <c r="C89" i="3" s="1"/>
  <c r="Y87" i="3" l="1"/>
  <c r="AA87" i="3" s="1"/>
  <c r="W88" i="3" s="1"/>
  <c r="I108" i="3"/>
  <c r="P107" i="3"/>
  <c r="T107" i="3" s="1"/>
  <c r="K57" i="3"/>
  <c r="M57" i="3" s="1"/>
  <c r="L57" i="3"/>
  <c r="D89" i="3"/>
  <c r="H89" i="3" s="1"/>
  <c r="AJ93" i="3"/>
  <c r="AN93" i="3" s="1"/>
  <c r="X88" i="3" l="1"/>
  <c r="AB88" i="3" s="1"/>
  <c r="AK93" i="3"/>
  <c r="AM93" i="3" s="1"/>
  <c r="AI94" i="3" s="1"/>
  <c r="I109" i="3"/>
  <c r="P108" i="3"/>
  <c r="T108" i="3" s="1"/>
  <c r="N57" i="3"/>
  <c r="E89" i="3"/>
  <c r="G89" i="3" s="1"/>
  <c r="C90" i="3" s="1"/>
  <c r="D90" i="3" s="1"/>
  <c r="AJ94" i="3"/>
  <c r="AN94" i="3" s="1"/>
  <c r="Y88" i="3" l="1"/>
  <c r="AA88" i="3" s="1"/>
  <c r="W89" i="3" s="1"/>
  <c r="I110" i="3"/>
  <c r="P109" i="3"/>
  <c r="T109" i="3" s="1"/>
  <c r="R57" i="3"/>
  <c r="O57" i="3"/>
  <c r="Q57" i="3" s="1"/>
  <c r="J58" i="3" s="1"/>
  <c r="H90" i="3"/>
  <c r="E90" i="3"/>
  <c r="G90" i="3" s="1"/>
  <c r="C91" i="3" s="1"/>
  <c r="D91" i="3" s="1"/>
  <c r="H91" i="3" s="1"/>
  <c r="AK94" i="3"/>
  <c r="AM94" i="3" s="1"/>
  <c r="AI95" i="3" s="1"/>
  <c r="X89" i="3" l="1"/>
  <c r="AB89" i="3" s="1"/>
  <c r="I111" i="3"/>
  <c r="P110" i="3"/>
  <c r="T110" i="3" s="1"/>
  <c r="L58" i="3"/>
  <c r="K58" i="3"/>
  <c r="M58" i="3" s="1"/>
  <c r="N58" i="3" s="1"/>
  <c r="R58" i="3" s="1"/>
  <c r="AJ95" i="3"/>
  <c r="AN95" i="3" s="1"/>
  <c r="E91" i="3"/>
  <c r="G91" i="3" s="1"/>
  <c r="C92" i="3" s="1"/>
  <c r="Y89" i="3" l="1"/>
  <c r="AA89" i="3" s="1"/>
  <c r="W90" i="3" s="1"/>
  <c r="O58" i="3"/>
  <c r="Q58" i="3" s="1"/>
  <c r="J59" i="3" s="1"/>
  <c r="K59" i="3" s="1"/>
  <c r="M59" i="3" s="1"/>
  <c r="I112" i="3"/>
  <c r="P111" i="3"/>
  <c r="T111" i="3" s="1"/>
  <c r="D92" i="3"/>
  <c r="H92" i="3" s="1"/>
  <c r="E92" i="3"/>
  <c r="G92" i="3" s="1"/>
  <c r="C93" i="3" s="1"/>
  <c r="AK95" i="3"/>
  <c r="AM95" i="3" s="1"/>
  <c r="AI96" i="3" s="1"/>
  <c r="X90" i="3" l="1"/>
  <c r="AB90" i="3" s="1"/>
  <c r="L59" i="3"/>
  <c r="I113" i="3"/>
  <c r="P112" i="3"/>
  <c r="T112" i="3" s="1"/>
  <c r="N59" i="3"/>
  <c r="D93" i="3"/>
  <c r="H93" i="3" s="1"/>
  <c r="AJ96" i="3"/>
  <c r="AN96" i="3" s="1"/>
  <c r="AK96" i="3"/>
  <c r="AM96" i="3" s="1"/>
  <c r="AI97" i="3" s="1"/>
  <c r="Y90" i="3" l="1"/>
  <c r="AA90" i="3" s="1"/>
  <c r="W91" i="3" s="1"/>
  <c r="I114" i="3"/>
  <c r="P113" i="3"/>
  <c r="T113" i="3" s="1"/>
  <c r="R59" i="3"/>
  <c r="O59" i="3"/>
  <c r="Q59" i="3" s="1"/>
  <c r="J60" i="3" s="1"/>
  <c r="AJ97" i="3"/>
  <c r="AN97" i="3" s="1"/>
  <c r="E93" i="3"/>
  <c r="G93" i="3" s="1"/>
  <c r="C94" i="3" s="1"/>
  <c r="X91" i="3" l="1"/>
  <c r="AB91" i="3" s="1"/>
  <c r="I115" i="3"/>
  <c r="P114" i="3"/>
  <c r="T114" i="3" s="1"/>
  <c r="K60" i="3"/>
  <c r="M60" i="3" s="1"/>
  <c r="L60" i="3"/>
  <c r="D94" i="3"/>
  <c r="H94" i="3" s="1"/>
  <c r="AK97" i="3"/>
  <c r="AM97" i="3" s="1"/>
  <c r="AI98" i="3" s="1"/>
  <c r="Y91" i="3" l="1"/>
  <c r="AA91" i="3" s="1"/>
  <c r="W92" i="3" s="1"/>
  <c r="X92" i="3"/>
  <c r="AB92" i="3" s="1"/>
  <c r="I116" i="3"/>
  <c r="P115" i="3"/>
  <c r="T115" i="3" s="1"/>
  <c r="N60" i="3"/>
  <c r="E94" i="3"/>
  <c r="G94" i="3" s="1"/>
  <c r="C95" i="3" s="1"/>
  <c r="D95" i="3" s="1"/>
  <c r="H95" i="3" s="1"/>
  <c r="AJ98" i="3"/>
  <c r="AN98" i="3" s="1"/>
  <c r="Y92" i="3" l="1"/>
  <c r="AA92" i="3" s="1"/>
  <c r="W93" i="3" s="1"/>
  <c r="I117" i="3"/>
  <c r="P116" i="3"/>
  <c r="T116" i="3" s="1"/>
  <c r="R60" i="3"/>
  <c r="O60" i="3"/>
  <c r="Q60" i="3" s="1"/>
  <c r="J61" i="3" s="1"/>
  <c r="E95" i="3"/>
  <c r="G95" i="3" s="1"/>
  <c r="C96" i="3" s="1"/>
  <c r="AK98" i="3"/>
  <c r="AM98" i="3" s="1"/>
  <c r="AI99" i="3" s="1"/>
  <c r="X93" i="3" l="1"/>
  <c r="AB93" i="3" s="1"/>
  <c r="I118" i="3"/>
  <c r="P117" i="3"/>
  <c r="T117" i="3" s="1"/>
  <c r="K61" i="3"/>
  <c r="M61" i="3" s="1"/>
  <c r="L61" i="3"/>
  <c r="D96" i="3"/>
  <c r="H96" i="3" s="1"/>
  <c r="AJ99" i="3"/>
  <c r="AN99" i="3" s="1"/>
  <c r="Y93" i="3" l="1"/>
  <c r="AA93" i="3" s="1"/>
  <c r="W94" i="3" s="1"/>
  <c r="X94" i="3"/>
  <c r="AB94" i="3" s="1"/>
  <c r="I119" i="3"/>
  <c r="P118" i="3"/>
  <c r="T118" i="3" s="1"/>
  <c r="N61" i="3"/>
  <c r="AK99" i="3"/>
  <c r="AM99" i="3" s="1"/>
  <c r="AI100" i="3" s="1"/>
  <c r="AJ100" i="3" s="1"/>
  <c r="AN100" i="3" s="1"/>
  <c r="E96" i="3"/>
  <c r="G96" i="3" s="1"/>
  <c r="C97" i="3" s="1"/>
  <c r="Y94" i="3" l="1"/>
  <c r="AA94" i="3" s="1"/>
  <c r="W95" i="3" s="1"/>
  <c r="I120" i="3"/>
  <c r="P119" i="3"/>
  <c r="T119" i="3" s="1"/>
  <c r="R61" i="3"/>
  <c r="O61" i="3"/>
  <c r="Q61" i="3" s="1"/>
  <c r="J62" i="3" s="1"/>
  <c r="AK100" i="3"/>
  <c r="AM100" i="3" s="1"/>
  <c r="AI101" i="3" s="1"/>
  <c r="AJ101" i="3" s="1"/>
  <c r="AN101" i="3" s="1"/>
  <c r="D97" i="3"/>
  <c r="H97" i="3" s="1"/>
  <c r="X95" i="3" l="1"/>
  <c r="AB95" i="3" s="1"/>
  <c r="I121" i="3"/>
  <c r="P120" i="3"/>
  <c r="T120" i="3" s="1"/>
  <c r="K62" i="3"/>
  <c r="M62" i="3" s="1"/>
  <c r="L62" i="3"/>
  <c r="AK101" i="3"/>
  <c r="AM101" i="3" s="1"/>
  <c r="AI102" i="3" s="1"/>
  <c r="AJ102" i="3" s="1"/>
  <c r="AN102" i="3" s="1"/>
  <c r="E97" i="3"/>
  <c r="G97" i="3" s="1"/>
  <c r="C98" i="3" s="1"/>
  <c r="D98" i="3" s="1"/>
  <c r="Y95" i="3" l="1"/>
  <c r="AA95" i="3" s="1"/>
  <c r="W96" i="3" s="1"/>
  <c r="I122" i="3"/>
  <c r="P121" i="3"/>
  <c r="T121" i="3" s="1"/>
  <c r="N62" i="3"/>
  <c r="H98" i="3"/>
  <c r="E98" i="3"/>
  <c r="G98" i="3" s="1"/>
  <c r="C99" i="3" s="1"/>
  <c r="D99" i="3" s="1"/>
  <c r="H99" i="3" s="1"/>
  <c r="AK102" i="3"/>
  <c r="AM102" i="3" s="1"/>
  <c r="AI103" i="3" s="1"/>
  <c r="AJ103" i="3" s="1"/>
  <c r="AN103" i="3" s="1"/>
  <c r="X96" i="3" l="1"/>
  <c r="AB96" i="3" s="1"/>
  <c r="I123" i="3"/>
  <c r="P122" i="3"/>
  <c r="T122" i="3" s="1"/>
  <c r="E99" i="3"/>
  <c r="G99" i="3" s="1"/>
  <c r="C100" i="3" s="1"/>
  <c r="D100" i="3" s="1"/>
  <c r="H100" i="3" s="1"/>
  <c r="R62" i="3"/>
  <c r="O62" i="3"/>
  <c r="Q62" i="3" s="1"/>
  <c r="J63" i="3" s="1"/>
  <c r="AK103" i="3"/>
  <c r="AM103" i="3" s="1"/>
  <c r="AI104" i="3" s="1"/>
  <c r="Y96" i="3" l="1"/>
  <c r="AA96" i="3" s="1"/>
  <c r="W97" i="3" s="1"/>
  <c r="X97" i="3"/>
  <c r="AB97" i="3" s="1"/>
  <c r="Y97" i="3"/>
  <c r="AA97" i="3" s="1"/>
  <c r="W98" i="3" s="1"/>
  <c r="I124" i="3"/>
  <c r="P123" i="3"/>
  <c r="T123" i="3" s="1"/>
  <c r="K63" i="3"/>
  <c r="M63" i="3" s="1"/>
  <c r="L63" i="3"/>
  <c r="AJ104" i="3"/>
  <c r="AN104" i="3" s="1"/>
  <c r="E100" i="3"/>
  <c r="G100" i="3" s="1"/>
  <c r="C101" i="3" s="1"/>
  <c r="X98" i="3" l="1"/>
  <c r="AB98" i="3" s="1"/>
  <c r="I125" i="3"/>
  <c r="P124" i="3"/>
  <c r="T124" i="3" s="1"/>
  <c r="N63" i="3"/>
  <c r="AK104" i="3"/>
  <c r="AM104" i="3" s="1"/>
  <c r="AI105" i="3" s="1"/>
  <c r="AJ105" i="3" s="1"/>
  <c r="AN105" i="3" s="1"/>
  <c r="D101" i="3"/>
  <c r="H101" i="3" s="1"/>
  <c r="Y98" i="3" l="1"/>
  <c r="AA98" i="3" s="1"/>
  <c r="W99" i="3" s="1"/>
  <c r="I126" i="3"/>
  <c r="P125" i="3"/>
  <c r="T125" i="3" s="1"/>
  <c r="R63" i="3"/>
  <c r="O63" i="3"/>
  <c r="Q63" i="3" s="1"/>
  <c r="J64" i="3" s="1"/>
  <c r="AK105" i="3"/>
  <c r="AM105" i="3" s="1"/>
  <c r="AI106" i="3" s="1"/>
  <c r="AJ106" i="3" s="1"/>
  <c r="AN106" i="3" s="1"/>
  <c r="E101" i="3"/>
  <c r="G101" i="3" s="1"/>
  <c r="C102" i="3" s="1"/>
  <c r="D102" i="3" s="1"/>
  <c r="H102" i="3" s="1"/>
  <c r="X99" i="3" l="1"/>
  <c r="AB99" i="3" s="1"/>
  <c r="E102" i="3"/>
  <c r="G102" i="3" s="1"/>
  <c r="C103" i="3" s="1"/>
  <c r="D103" i="3" s="1"/>
  <c r="H103" i="3" s="1"/>
  <c r="AK106" i="3"/>
  <c r="AM106" i="3" s="1"/>
  <c r="AI107" i="3" s="1"/>
  <c r="AJ107" i="3" s="1"/>
  <c r="AN107" i="3" s="1"/>
  <c r="I127" i="3"/>
  <c r="P126" i="3"/>
  <c r="T126" i="3" s="1"/>
  <c r="L64" i="3"/>
  <c r="K64" i="3"/>
  <c r="M64" i="3" s="1"/>
  <c r="Y99" i="3" l="1"/>
  <c r="AA99" i="3" s="1"/>
  <c r="W100" i="3" s="1"/>
  <c r="X100" i="3"/>
  <c r="AB100" i="3" s="1"/>
  <c r="Y100" i="3"/>
  <c r="AA100" i="3" s="1"/>
  <c r="W101" i="3" s="1"/>
  <c r="AK107" i="3"/>
  <c r="AM107" i="3" s="1"/>
  <c r="AI108" i="3" s="1"/>
  <c r="AJ108" i="3" s="1"/>
  <c r="AN108" i="3" s="1"/>
  <c r="N64" i="3"/>
  <c r="R64" i="3" s="1"/>
  <c r="I128" i="3"/>
  <c r="P127" i="3"/>
  <c r="T127" i="3" s="1"/>
  <c r="AK108" i="3"/>
  <c r="AM108" i="3" s="1"/>
  <c r="AI109" i="3" s="1"/>
  <c r="AJ109" i="3" s="1"/>
  <c r="AN109" i="3" s="1"/>
  <c r="E103" i="3"/>
  <c r="G103" i="3" s="1"/>
  <c r="C104" i="3" s="1"/>
  <c r="D104" i="3" s="1"/>
  <c r="X101" i="3" l="1"/>
  <c r="AB101" i="3" s="1"/>
  <c r="O64" i="3"/>
  <c r="Q64" i="3" s="1"/>
  <c r="J65" i="3" s="1"/>
  <c r="I129" i="3"/>
  <c r="P128" i="3"/>
  <c r="T128" i="3" s="1"/>
  <c r="H104" i="3"/>
  <c r="E104" i="3"/>
  <c r="G104" i="3" s="1"/>
  <c r="C105" i="3" s="1"/>
  <c r="AK109" i="3"/>
  <c r="AM109" i="3" s="1"/>
  <c r="AI110" i="3" s="1"/>
  <c r="AJ110" i="3" s="1"/>
  <c r="D105" i="3"/>
  <c r="H105" i="3" s="1"/>
  <c r="Y101" i="3" l="1"/>
  <c r="AA101" i="3" s="1"/>
  <c r="W102" i="3" s="1"/>
  <c r="L65" i="3"/>
  <c r="K65" i="3"/>
  <c r="M65" i="3" s="1"/>
  <c r="E105" i="3"/>
  <c r="G105" i="3" s="1"/>
  <c r="C106" i="3" s="1"/>
  <c r="D106" i="3" s="1"/>
  <c r="H106" i="3" s="1"/>
  <c r="AN110" i="3"/>
  <c r="AK110" i="3"/>
  <c r="AM110" i="3" s="1"/>
  <c r="AI111" i="3" s="1"/>
  <c r="AJ111" i="3" s="1"/>
  <c r="AN111" i="3" s="1"/>
  <c r="I130" i="3"/>
  <c r="P129" i="3"/>
  <c r="T129" i="3" s="1"/>
  <c r="X102" i="3" l="1"/>
  <c r="AB102" i="3" s="1"/>
  <c r="N65" i="3"/>
  <c r="O65" i="3" s="1"/>
  <c r="Q65" i="3" s="1"/>
  <c r="J66" i="3" s="1"/>
  <c r="R65" i="3"/>
  <c r="I131" i="3"/>
  <c r="P130" i="3"/>
  <c r="T130" i="3" s="1"/>
  <c r="K66" i="3"/>
  <c r="M66" i="3" s="1"/>
  <c r="L66" i="3"/>
  <c r="E106" i="3"/>
  <c r="G106" i="3" s="1"/>
  <c r="C107" i="3" s="1"/>
  <c r="D107" i="3" s="1"/>
  <c r="H107" i="3" s="1"/>
  <c r="AK111" i="3"/>
  <c r="AM111" i="3" s="1"/>
  <c r="AI112" i="3" s="1"/>
  <c r="Y102" i="3" l="1"/>
  <c r="AA102" i="3" s="1"/>
  <c r="W103" i="3" s="1"/>
  <c r="I132" i="3"/>
  <c r="P131" i="3"/>
  <c r="T131" i="3" s="1"/>
  <c r="N66" i="3"/>
  <c r="E107" i="3"/>
  <c r="G107" i="3" s="1"/>
  <c r="C108" i="3" s="1"/>
  <c r="D108" i="3" s="1"/>
  <c r="H108" i="3" s="1"/>
  <c r="AJ112" i="3"/>
  <c r="AN112" i="3" s="1"/>
  <c r="X103" i="3" l="1"/>
  <c r="AB103" i="3" s="1"/>
  <c r="AK112" i="3"/>
  <c r="AM112" i="3" s="1"/>
  <c r="AI113" i="3" s="1"/>
  <c r="AJ113" i="3" s="1"/>
  <c r="AN113" i="3" s="1"/>
  <c r="I133" i="3"/>
  <c r="P132" i="3"/>
  <c r="T132" i="3" s="1"/>
  <c r="R66" i="3"/>
  <c r="O66" i="3"/>
  <c r="Q66" i="3" s="1"/>
  <c r="J67" i="3" s="1"/>
  <c r="E108" i="3"/>
  <c r="G108" i="3" s="1"/>
  <c r="C109" i="3" s="1"/>
  <c r="D109" i="3" s="1"/>
  <c r="H109" i="3" s="1"/>
  <c r="Y103" i="3" l="1"/>
  <c r="AA103" i="3" s="1"/>
  <c r="W104" i="3" s="1"/>
  <c r="AK113" i="3"/>
  <c r="AM113" i="3" s="1"/>
  <c r="AI114" i="3" s="1"/>
  <c r="AJ114" i="3" s="1"/>
  <c r="AN114" i="3" s="1"/>
  <c r="I134" i="3"/>
  <c r="P133" i="3"/>
  <c r="T133" i="3" s="1"/>
  <c r="K67" i="3"/>
  <c r="M67" i="3" s="1"/>
  <c r="L67" i="3"/>
  <c r="E109" i="3"/>
  <c r="G109" i="3" s="1"/>
  <c r="C110" i="3" s="1"/>
  <c r="X104" i="3" l="1"/>
  <c r="AB104" i="3" s="1"/>
  <c r="I135" i="3"/>
  <c r="P134" i="3"/>
  <c r="T134" i="3" s="1"/>
  <c r="N67" i="3"/>
  <c r="AK114" i="3"/>
  <c r="AM114" i="3" s="1"/>
  <c r="AI115" i="3" s="1"/>
  <c r="AJ115" i="3" s="1"/>
  <c r="AN115" i="3" s="1"/>
  <c r="D110" i="3"/>
  <c r="H110" i="3" s="1"/>
  <c r="Y104" i="3" l="1"/>
  <c r="AA104" i="3" s="1"/>
  <c r="W105" i="3" s="1"/>
  <c r="X105" i="3" s="1"/>
  <c r="E110" i="3"/>
  <c r="G110" i="3" s="1"/>
  <c r="C111" i="3" s="1"/>
  <c r="I136" i="3"/>
  <c r="P135" i="3"/>
  <c r="T135" i="3" s="1"/>
  <c r="R67" i="3"/>
  <c r="O67" i="3"/>
  <c r="Q67" i="3" s="1"/>
  <c r="J68" i="3" s="1"/>
  <c r="AK115" i="3"/>
  <c r="AM115" i="3" s="1"/>
  <c r="AI116" i="3" s="1"/>
  <c r="AJ116" i="3" s="1"/>
  <c r="AN116" i="3" s="1"/>
  <c r="D111" i="3"/>
  <c r="H111" i="3" s="1"/>
  <c r="AB105" i="3" l="1"/>
  <c r="Y105" i="3"/>
  <c r="AA105" i="3" s="1"/>
  <c r="W106" i="3" s="1"/>
  <c r="X106" i="3"/>
  <c r="AB106" i="3" s="1"/>
  <c r="I137" i="3"/>
  <c r="P136" i="3"/>
  <c r="T136" i="3" s="1"/>
  <c r="K68" i="3"/>
  <c r="M68" i="3" s="1"/>
  <c r="L68" i="3"/>
  <c r="E111" i="3"/>
  <c r="G111" i="3" s="1"/>
  <c r="C112" i="3" s="1"/>
  <c r="D112" i="3" s="1"/>
  <c r="H112" i="3" s="1"/>
  <c r="AK116" i="3"/>
  <c r="AM116" i="3" s="1"/>
  <c r="AI117" i="3" s="1"/>
  <c r="AJ117" i="3" s="1"/>
  <c r="AN117" i="3" s="1"/>
  <c r="Y106" i="3" l="1"/>
  <c r="AA106" i="3" s="1"/>
  <c r="W107" i="3" s="1"/>
  <c r="X107" i="3" s="1"/>
  <c r="AB107" i="3" s="1"/>
  <c r="I138" i="3"/>
  <c r="P137" i="3"/>
  <c r="T137" i="3" s="1"/>
  <c r="N68" i="3"/>
  <c r="AK117" i="3"/>
  <c r="AM117" i="3" s="1"/>
  <c r="AI118" i="3" s="1"/>
  <c r="AJ118" i="3" s="1"/>
  <c r="AN118" i="3" s="1"/>
  <c r="E112" i="3"/>
  <c r="G112" i="3" s="1"/>
  <c r="C113" i="3" s="1"/>
  <c r="Y107" i="3" l="1"/>
  <c r="AA107" i="3" s="1"/>
  <c r="W108" i="3" s="1"/>
  <c r="X108" i="3" s="1"/>
  <c r="AB108" i="3" s="1"/>
  <c r="I139" i="3"/>
  <c r="P138" i="3"/>
  <c r="T138" i="3" s="1"/>
  <c r="R68" i="3"/>
  <c r="O68" i="3"/>
  <c r="Q68" i="3" s="1"/>
  <c r="J69" i="3" s="1"/>
  <c r="AK118" i="3"/>
  <c r="AM118" i="3" s="1"/>
  <c r="AI119" i="3" s="1"/>
  <c r="AJ119" i="3" s="1"/>
  <c r="AN119" i="3" s="1"/>
  <c r="D113" i="3"/>
  <c r="H113" i="3" s="1"/>
  <c r="E113" i="3"/>
  <c r="G113" i="3" s="1"/>
  <c r="C114" i="3" s="1"/>
  <c r="Y108" i="3" l="1"/>
  <c r="AA108" i="3" s="1"/>
  <c r="W109" i="3" s="1"/>
  <c r="I140" i="3"/>
  <c r="P139" i="3"/>
  <c r="T139" i="3" s="1"/>
  <c r="L69" i="3"/>
  <c r="K69" i="3"/>
  <c r="M69" i="3" s="1"/>
  <c r="N69" i="3" s="1"/>
  <c r="R69" i="3" s="1"/>
  <c r="AK119" i="3"/>
  <c r="AM119" i="3" s="1"/>
  <c r="AI120" i="3" s="1"/>
  <c r="AJ120" i="3" s="1"/>
  <c r="AN120" i="3" s="1"/>
  <c r="D114" i="3"/>
  <c r="H114" i="3" s="1"/>
  <c r="X109" i="3" l="1"/>
  <c r="AB109" i="3" s="1"/>
  <c r="O69" i="3"/>
  <c r="Q69" i="3" s="1"/>
  <c r="J70" i="3" s="1"/>
  <c r="I141" i="3"/>
  <c r="P141" i="3" s="1"/>
  <c r="T141" i="3" s="1"/>
  <c r="P140" i="3"/>
  <c r="T140" i="3" s="1"/>
  <c r="K70" i="3"/>
  <c r="M70" i="3" s="1"/>
  <c r="L70" i="3"/>
  <c r="AK120" i="3"/>
  <c r="AM120" i="3" s="1"/>
  <c r="AI121" i="3" s="1"/>
  <c r="AJ121" i="3" s="1"/>
  <c r="AN121" i="3" s="1"/>
  <c r="E114" i="3"/>
  <c r="G114" i="3" s="1"/>
  <c r="C115" i="3" s="1"/>
  <c r="D115" i="3" s="1"/>
  <c r="H115" i="3" s="1"/>
  <c r="Y109" i="3" l="1"/>
  <c r="AA109" i="3" s="1"/>
  <c r="W110" i="3" s="1"/>
  <c r="X110" i="3"/>
  <c r="AB110" i="3" s="1"/>
  <c r="T17" i="3"/>
  <c r="N70" i="3"/>
  <c r="AK121" i="3"/>
  <c r="AM121" i="3" s="1"/>
  <c r="AI122" i="3" s="1"/>
  <c r="E115" i="3"/>
  <c r="G115" i="3" s="1"/>
  <c r="C116" i="3" s="1"/>
  <c r="D116" i="3"/>
  <c r="H116" i="3" s="1"/>
  <c r="Y110" i="3" l="1"/>
  <c r="AA110" i="3" s="1"/>
  <c r="W111" i="3" s="1"/>
  <c r="R70" i="3"/>
  <c r="O70" i="3"/>
  <c r="Q70" i="3" s="1"/>
  <c r="J71" i="3" s="1"/>
  <c r="E116" i="3"/>
  <c r="G116" i="3" s="1"/>
  <c r="C117" i="3" s="1"/>
  <c r="D117" i="3" s="1"/>
  <c r="H117" i="3" s="1"/>
  <c r="AJ122" i="3"/>
  <c r="AN122" i="3" s="1"/>
  <c r="X111" i="3" l="1"/>
  <c r="AB111" i="3" s="1"/>
  <c r="Y111" i="3"/>
  <c r="AA111" i="3" s="1"/>
  <c r="W112" i="3" s="1"/>
  <c r="K71" i="3"/>
  <c r="M71" i="3" s="1"/>
  <c r="L71" i="3"/>
  <c r="E117" i="3"/>
  <c r="G117" i="3" s="1"/>
  <c r="C118" i="3" s="1"/>
  <c r="D118" i="3" s="1"/>
  <c r="AK122" i="3"/>
  <c r="AM122" i="3" s="1"/>
  <c r="AI123" i="3" s="1"/>
  <c r="X112" i="3" l="1"/>
  <c r="AB112" i="3" s="1"/>
  <c r="H118" i="3"/>
  <c r="E118" i="3"/>
  <c r="G118" i="3" s="1"/>
  <c r="C119" i="3" s="1"/>
  <c r="D119" i="3" s="1"/>
  <c r="H119" i="3" s="1"/>
  <c r="N71" i="3"/>
  <c r="AJ123" i="3"/>
  <c r="AN123" i="3" s="1"/>
  <c r="Y112" i="3" l="1"/>
  <c r="AA112" i="3" s="1"/>
  <c r="W113" i="3" s="1"/>
  <c r="X113" i="3"/>
  <c r="AB113" i="3" s="1"/>
  <c r="R71" i="3"/>
  <c r="O71" i="3"/>
  <c r="Q71" i="3" s="1"/>
  <c r="J72" i="3" s="1"/>
  <c r="E119" i="3"/>
  <c r="G119" i="3" s="1"/>
  <c r="C120" i="3" s="1"/>
  <c r="D120" i="3" s="1"/>
  <c r="H120" i="3" s="1"/>
  <c r="AK123" i="3"/>
  <c r="AM123" i="3" s="1"/>
  <c r="AI124" i="3" s="1"/>
  <c r="Y113" i="3" l="1"/>
  <c r="AA113" i="3" s="1"/>
  <c r="W114" i="3" s="1"/>
  <c r="X114" i="3"/>
  <c r="AB114" i="3" s="1"/>
  <c r="Y114" i="3"/>
  <c r="AA114" i="3" s="1"/>
  <c r="W115" i="3" s="1"/>
  <c r="K72" i="3"/>
  <c r="M72" i="3" s="1"/>
  <c r="L72" i="3"/>
  <c r="AJ124" i="3"/>
  <c r="AN124" i="3" s="1"/>
  <c r="E120" i="3"/>
  <c r="G120" i="3" s="1"/>
  <c r="C121" i="3" s="1"/>
  <c r="D121" i="3" s="1"/>
  <c r="H121" i="3" s="1"/>
  <c r="X115" i="3" l="1"/>
  <c r="AB115" i="3" s="1"/>
  <c r="Y115" i="3"/>
  <c r="AA115" i="3" s="1"/>
  <c r="W116" i="3" s="1"/>
  <c r="N72" i="3"/>
  <c r="E121" i="3"/>
  <c r="G121" i="3" s="1"/>
  <c r="C122" i="3" s="1"/>
  <c r="D122" i="3" s="1"/>
  <c r="H122" i="3" s="1"/>
  <c r="AK124" i="3"/>
  <c r="AM124" i="3" s="1"/>
  <c r="AI125" i="3" s="1"/>
  <c r="AJ125" i="3" s="1"/>
  <c r="AN125" i="3" s="1"/>
  <c r="X116" i="3" l="1"/>
  <c r="AB116" i="3" s="1"/>
  <c r="R72" i="3"/>
  <c r="O72" i="3"/>
  <c r="Q72" i="3" s="1"/>
  <c r="J73" i="3" s="1"/>
  <c r="AK125" i="3"/>
  <c r="AM125" i="3" s="1"/>
  <c r="AI126" i="3" s="1"/>
  <c r="E122" i="3"/>
  <c r="G122" i="3" s="1"/>
  <c r="C123" i="3" s="1"/>
  <c r="D123" i="3" s="1"/>
  <c r="H123" i="3" s="1"/>
  <c r="Y116" i="3" l="1"/>
  <c r="AA116" i="3" s="1"/>
  <c r="W117" i="3" s="1"/>
  <c r="X117" i="3"/>
  <c r="AB117" i="3" s="1"/>
  <c r="Y117" i="3"/>
  <c r="AA117" i="3" s="1"/>
  <c r="W118" i="3" s="1"/>
  <c r="L73" i="3"/>
  <c r="K73" i="3"/>
  <c r="M73" i="3" s="1"/>
  <c r="AJ126" i="3"/>
  <c r="AN126" i="3" s="1"/>
  <c r="E123" i="3"/>
  <c r="G123" i="3" s="1"/>
  <c r="C124" i="3" s="1"/>
  <c r="X118" i="3" l="1"/>
  <c r="AB118" i="3" s="1"/>
  <c r="AK126" i="3"/>
  <c r="AM126" i="3" s="1"/>
  <c r="AI127" i="3" s="1"/>
  <c r="N73" i="3"/>
  <c r="R73" i="3" s="1"/>
  <c r="AJ127" i="3"/>
  <c r="AN127" i="3" s="1"/>
  <c r="D124" i="3"/>
  <c r="H124" i="3" s="1"/>
  <c r="Y118" i="3" l="1"/>
  <c r="AA118" i="3" s="1"/>
  <c r="W119" i="3" s="1"/>
  <c r="AK127" i="3"/>
  <c r="AM127" i="3" s="1"/>
  <c r="AI128" i="3" s="1"/>
  <c r="AJ128" i="3" s="1"/>
  <c r="AN128" i="3" s="1"/>
  <c r="O73" i="3"/>
  <c r="Q73" i="3" s="1"/>
  <c r="J74" i="3" s="1"/>
  <c r="K74" i="3"/>
  <c r="M74" i="3" s="1"/>
  <c r="L74" i="3"/>
  <c r="E124" i="3"/>
  <c r="G124" i="3" s="1"/>
  <c r="C125" i="3" s="1"/>
  <c r="D125" i="3" s="1"/>
  <c r="H125" i="3" s="1"/>
  <c r="X119" i="3" l="1"/>
  <c r="AB119" i="3" s="1"/>
  <c r="AK128" i="3"/>
  <c r="AM128" i="3" s="1"/>
  <c r="AI129" i="3" s="1"/>
  <c r="AJ129" i="3" s="1"/>
  <c r="AN129" i="3" s="1"/>
  <c r="N74" i="3"/>
  <c r="E125" i="3"/>
  <c r="G125" i="3" s="1"/>
  <c r="C126" i="3" s="1"/>
  <c r="D126" i="3" s="1"/>
  <c r="H126" i="3" s="1"/>
  <c r="Y119" i="3" l="1"/>
  <c r="AA119" i="3" s="1"/>
  <c r="W120" i="3" s="1"/>
  <c r="AK129" i="3"/>
  <c r="AM129" i="3" s="1"/>
  <c r="AI130" i="3" s="1"/>
  <c r="R74" i="3"/>
  <c r="O74" i="3"/>
  <c r="Q74" i="3" s="1"/>
  <c r="J75" i="3" s="1"/>
  <c r="AJ130" i="3"/>
  <c r="AN130" i="3" s="1"/>
  <c r="E126" i="3"/>
  <c r="G126" i="3" s="1"/>
  <c r="C127" i="3" s="1"/>
  <c r="D127" i="3" s="1"/>
  <c r="H127" i="3" s="1"/>
  <c r="X120" i="3" l="1"/>
  <c r="AB120" i="3" s="1"/>
  <c r="K75" i="3"/>
  <c r="M75" i="3" s="1"/>
  <c r="L75" i="3"/>
  <c r="AK130" i="3"/>
  <c r="AM130" i="3" s="1"/>
  <c r="AI131" i="3" s="1"/>
  <c r="AJ131" i="3" s="1"/>
  <c r="AN131" i="3" s="1"/>
  <c r="E127" i="3"/>
  <c r="G127" i="3" s="1"/>
  <c r="C128" i="3" s="1"/>
  <c r="D128" i="3" s="1"/>
  <c r="H128" i="3" s="1"/>
  <c r="Y120" i="3" l="1"/>
  <c r="AA120" i="3" s="1"/>
  <c r="W121" i="3" s="1"/>
  <c r="N75" i="3"/>
  <c r="AK131" i="3"/>
  <c r="AM131" i="3" s="1"/>
  <c r="AI132" i="3" s="1"/>
  <c r="AJ132" i="3" s="1"/>
  <c r="AN132" i="3" s="1"/>
  <c r="E128" i="3"/>
  <c r="G128" i="3" s="1"/>
  <c r="C129" i="3" s="1"/>
  <c r="D129" i="3" s="1"/>
  <c r="H129" i="3" s="1"/>
  <c r="X121" i="3" l="1"/>
  <c r="AB121" i="3" s="1"/>
  <c r="R75" i="3"/>
  <c r="O75" i="3"/>
  <c r="Q75" i="3" s="1"/>
  <c r="J76" i="3" s="1"/>
  <c r="AK132" i="3"/>
  <c r="AM132" i="3" s="1"/>
  <c r="AI133" i="3" s="1"/>
  <c r="AJ133" i="3" s="1"/>
  <c r="AN133" i="3" s="1"/>
  <c r="E129" i="3"/>
  <c r="G129" i="3" s="1"/>
  <c r="C130" i="3" s="1"/>
  <c r="D130" i="3" s="1"/>
  <c r="H130" i="3" s="1"/>
  <c r="Y121" i="3" l="1"/>
  <c r="AA121" i="3" s="1"/>
  <c r="W122" i="3" s="1"/>
  <c r="K76" i="3"/>
  <c r="M76" i="3" s="1"/>
  <c r="L76" i="3"/>
  <c r="AK133" i="3"/>
  <c r="AM133" i="3" s="1"/>
  <c r="AI134" i="3" s="1"/>
  <c r="AJ134" i="3" s="1"/>
  <c r="AN134" i="3" s="1"/>
  <c r="E130" i="3"/>
  <c r="G130" i="3" s="1"/>
  <c r="C131" i="3" s="1"/>
  <c r="X122" i="3" l="1"/>
  <c r="AB122" i="3" s="1"/>
  <c r="N76" i="3"/>
  <c r="AK134" i="3"/>
  <c r="AM134" i="3" s="1"/>
  <c r="AI135" i="3" s="1"/>
  <c r="D131" i="3"/>
  <c r="H131" i="3" s="1"/>
  <c r="Y122" i="3" l="1"/>
  <c r="AA122" i="3" s="1"/>
  <c r="W123" i="3" s="1"/>
  <c r="X123" i="3"/>
  <c r="AB123" i="3" s="1"/>
  <c r="R76" i="3"/>
  <c r="O76" i="3"/>
  <c r="Q76" i="3" s="1"/>
  <c r="J77" i="3" s="1"/>
  <c r="AJ135" i="3"/>
  <c r="AN135" i="3" s="1"/>
  <c r="E131" i="3"/>
  <c r="G131" i="3" s="1"/>
  <c r="C132" i="3" s="1"/>
  <c r="Y123" i="3" l="1"/>
  <c r="AA123" i="3" s="1"/>
  <c r="W124" i="3" s="1"/>
  <c r="K77" i="3"/>
  <c r="M77" i="3" s="1"/>
  <c r="L77" i="3"/>
  <c r="AK135" i="3"/>
  <c r="AM135" i="3" s="1"/>
  <c r="AI136" i="3" s="1"/>
  <c r="AJ136" i="3" s="1"/>
  <c r="AN136" i="3" s="1"/>
  <c r="D132" i="3"/>
  <c r="H132" i="3" s="1"/>
  <c r="E132" i="3"/>
  <c r="G132" i="3" s="1"/>
  <c r="C133" i="3" s="1"/>
  <c r="X124" i="3" l="1"/>
  <c r="AB124" i="3" s="1"/>
  <c r="Y124" i="3"/>
  <c r="AA124" i="3" s="1"/>
  <c r="W125" i="3" s="1"/>
  <c r="N77" i="3"/>
  <c r="AK136" i="3"/>
  <c r="AM136" i="3" s="1"/>
  <c r="AI137" i="3" s="1"/>
  <c r="AJ137" i="3" s="1"/>
  <c r="AN137" i="3" s="1"/>
  <c r="D133" i="3"/>
  <c r="H133" i="3" s="1"/>
  <c r="X125" i="3" l="1"/>
  <c r="AB125" i="3" s="1"/>
  <c r="E133" i="3"/>
  <c r="G133" i="3" s="1"/>
  <c r="C134" i="3" s="1"/>
  <c r="R77" i="3"/>
  <c r="O77" i="3"/>
  <c r="Q77" i="3" s="1"/>
  <c r="J78" i="3" s="1"/>
  <c r="AK137" i="3"/>
  <c r="AM137" i="3" s="1"/>
  <c r="AI138" i="3" s="1"/>
  <c r="AJ138" i="3" s="1"/>
  <c r="AN138" i="3" s="1"/>
  <c r="D134" i="3"/>
  <c r="H134" i="3" s="1"/>
  <c r="Y125" i="3" l="1"/>
  <c r="AA125" i="3" s="1"/>
  <c r="W126" i="3" s="1"/>
  <c r="K78" i="3"/>
  <c r="M78" i="3" s="1"/>
  <c r="L78" i="3"/>
  <c r="AK138" i="3"/>
  <c r="AM138" i="3" s="1"/>
  <c r="AI139" i="3" s="1"/>
  <c r="AJ139" i="3" s="1"/>
  <c r="AN139" i="3" s="1"/>
  <c r="E134" i="3"/>
  <c r="G134" i="3" s="1"/>
  <c r="C135" i="3" s="1"/>
  <c r="X126" i="3" l="1"/>
  <c r="AB126" i="3" s="1"/>
  <c r="N78" i="3"/>
  <c r="AK139" i="3"/>
  <c r="AM139" i="3" s="1"/>
  <c r="AI140" i="3" s="1"/>
  <c r="AJ140" i="3" s="1"/>
  <c r="AN140" i="3" s="1"/>
  <c r="D135" i="3"/>
  <c r="H135" i="3" s="1"/>
  <c r="Y126" i="3" l="1"/>
  <c r="AA126" i="3" s="1"/>
  <c r="W127" i="3" s="1"/>
  <c r="R78" i="3"/>
  <c r="O78" i="3"/>
  <c r="Q78" i="3" s="1"/>
  <c r="J79" i="3" s="1"/>
  <c r="AK140" i="3"/>
  <c r="AM140" i="3" s="1"/>
  <c r="AI141" i="3" s="1"/>
  <c r="AJ141" i="3" s="1"/>
  <c r="AN141" i="3" s="1"/>
  <c r="E135" i="3"/>
  <c r="G135" i="3" s="1"/>
  <c r="C136" i="3" s="1"/>
  <c r="D136" i="3" s="1"/>
  <c r="H136" i="3" s="1"/>
  <c r="X127" i="3" l="1"/>
  <c r="AB127" i="3" s="1"/>
  <c r="Y127" i="3"/>
  <c r="AA127" i="3" s="1"/>
  <c r="W128" i="3" s="1"/>
  <c r="E136" i="3"/>
  <c r="G136" i="3" s="1"/>
  <c r="C137" i="3" s="1"/>
  <c r="D137" i="3" s="1"/>
  <c r="H137" i="3" s="1"/>
  <c r="K79" i="3"/>
  <c r="M79" i="3" s="1"/>
  <c r="L79" i="3"/>
  <c r="AK141" i="3"/>
  <c r="AM141" i="3" s="1"/>
  <c r="X128" i="3" l="1"/>
  <c r="AB128" i="3" s="1"/>
  <c r="N79" i="3"/>
  <c r="E137" i="3"/>
  <c r="G137" i="3" s="1"/>
  <c r="C138" i="3" s="1"/>
  <c r="D138" i="3" s="1"/>
  <c r="H138" i="3" s="1"/>
  <c r="Y128" i="3" l="1"/>
  <c r="AA128" i="3" s="1"/>
  <c r="W129" i="3" s="1"/>
  <c r="R79" i="3"/>
  <c r="O79" i="3"/>
  <c r="Q79" i="3" s="1"/>
  <c r="J80" i="3" s="1"/>
  <c r="E138" i="3"/>
  <c r="G138" i="3" s="1"/>
  <c r="C139" i="3" s="1"/>
  <c r="X129" i="3" l="1"/>
  <c r="AB129" i="3" s="1"/>
  <c r="K80" i="3"/>
  <c r="M80" i="3" s="1"/>
  <c r="L80" i="3"/>
  <c r="D139" i="3"/>
  <c r="H139" i="3" s="1"/>
  <c r="Y129" i="3" l="1"/>
  <c r="AA129" i="3" s="1"/>
  <c r="W130" i="3" s="1"/>
  <c r="N80" i="3"/>
  <c r="E139" i="3"/>
  <c r="G139" i="3" s="1"/>
  <c r="C140" i="3" s="1"/>
  <c r="D140" i="3" s="1"/>
  <c r="H140" i="3" s="1"/>
  <c r="X130" i="3" l="1"/>
  <c r="AB130" i="3" s="1"/>
  <c r="R80" i="3"/>
  <c r="O80" i="3"/>
  <c r="Q80" i="3" s="1"/>
  <c r="J81" i="3" s="1"/>
  <c r="E140" i="3"/>
  <c r="G140" i="3" s="1"/>
  <c r="C141" i="3" s="1"/>
  <c r="D141" i="3" s="1"/>
  <c r="H141" i="3" s="1"/>
  <c r="Y130" i="3" l="1"/>
  <c r="AA130" i="3" s="1"/>
  <c r="W131" i="3" s="1"/>
  <c r="K81" i="3"/>
  <c r="M81" i="3" s="1"/>
  <c r="L81" i="3"/>
  <c r="E141" i="3"/>
  <c r="G141" i="3" s="1"/>
  <c r="X131" i="3" l="1"/>
  <c r="AB131" i="3" s="1"/>
  <c r="Y131" i="3"/>
  <c r="AA131" i="3" s="1"/>
  <c r="W132" i="3" s="1"/>
  <c r="N81" i="3"/>
  <c r="X132" i="3" l="1"/>
  <c r="AB132" i="3" s="1"/>
  <c r="R81" i="3"/>
  <c r="O81" i="3"/>
  <c r="Q81" i="3" s="1"/>
  <c r="J82" i="3" s="1"/>
  <c r="Y132" i="3" l="1"/>
  <c r="AA132" i="3" s="1"/>
  <c r="W133" i="3" s="1"/>
  <c r="L82" i="3"/>
  <c r="K82" i="3"/>
  <c r="M82" i="3" s="1"/>
  <c r="X133" i="3" l="1"/>
  <c r="AB133" i="3" s="1"/>
  <c r="Y133" i="3"/>
  <c r="AA133" i="3" s="1"/>
  <c r="W134" i="3" s="1"/>
  <c r="N82" i="3"/>
  <c r="X134" i="3" l="1"/>
  <c r="AB134" i="3" s="1"/>
  <c r="R82" i="3"/>
  <c r="O82" i="3"/>
  <c r="Q82" i="3" s="1"/>
  <c r="J83" i="3" s="1"/>
  <c r="Y134" i="3" l="1"/>
  <c r="AA134" i="3" s="1"/>
  <c r="W135" i="3" s="1"/>
  <c r="L83" i="3"/>
  <c r="K83" i="3"/>
  <c r="M83" i="3" s="1"/>
  <c r="X135" i="3" l="1"/>
  <c r="AB135" i="3" s="1"/>
  <c r="Y135" i="3"/>
  <c r="AA135" i="3" s="1"/>
  <c r="W136" i="3" s="1"/>
  <c r="N83" i="3"/>
  <c r="X136" i="3" l="1"/>
  <c r="AB136" i="3" s="1"/>
  <c r="R83" i="3"/>
  <c r="O83" i="3"/>
  <c r="Q83" i="3" s="1"/>
  <c r="J84" i="3" s="1"/>
  <c r="Y136" i="3" l="1"/>
  <c r="AA136" i="3" s="1"/>
  <c r="W137" i="3" s="1"/>
  <c r="X137" i="3"/>
  <c r="AB137" i="3" s="1"/>
  <c r="Y137" i="3"/>
  <c r="AA137" i="3" s="1"/>
  <c r="W138" i="3" s="1"/>
  <c r="L84" i="3"/>
  <c r="K84" i="3"/>
  <c r="M84" i="3" s="1"/>
  <c r="N84" i="3" s="1"/>
  <c r="R84" i="3" s="1"/>
  <c r="O84" i="3"/>
  <c r="Q84" i="3" s="1"/>
  <c r="J85" i="3" s="1"/>
  <c r="X138" i="3" l="1"/>
  <c r="AB138" i="3" s="1"/>
  <c r="L85" i="3"/>
  <c r="K85" i="3"/>
  <c r="M85" i="3" s="1"/>
  <c r="N85" i="3" s="1"/>
  <c r="R85" i="3" s="1"/>
  <c r="Y138" i="3" l="1"/>
  <c r="AA138" i="3" s="1"/>
  <c r="W139" i="3" s="1"/>
  <c r="X139" i="3"/>
  <c r="AB139" i="3" s="1"/>
  <c r="Y139" i="3"/>
  <c r="AA139" i="3" s="1"/>
  <c r="W140" i="3" s="1"/>
  <c r="O85" i="3"/>
  <c r="Q85" i="3" s="1"/>
  <c r="J86" i="3" s="1"/>
  <c r="K86" i="3" s="1"/>
  <c r="M86" i="3" s="1"/>
  <c r="X140" i="3" l="1"/>
  <c r="AB140" i="3" s="1"/>
  <c r="Y140" i="3"/>
  <c r="AA140" i="3" s="1"/>
  <c r="W141" i="3" s="1"/>
  <c r="L86" i="3"/>
  <c r="N86" i="3"/>
  <c r="R86" i="3" s="1"/>
  <c r="X141" i="3" l="1"/>
  <c r="AB141" i="3" s="1"/>
  <c r="AB18" i="3" s="1"/>
  <c r="O86" i="3"/>
  <c r="Q86" i="3" s="1"/>
  <c r="J87" i="3" s="1"/>
  <c r="Y141" i="3" l="1"/>
  <c r="AA141" i="3" s="1"/>
  <c r="L87" i="3"/>
  <c r="K87" i="3"/>
  <c r="M87" i="3" s="1"/>
  <c r="N87" i="3" l="1"/>
  <c r="R87" i="3" s="1"/>
  <c r="O87" i="3" l="1"/>
  <c r="Q87" i="3" s="1"/>
  <c r="J88" i="3" s="1"/>
  <c r="L88" i="3" l="1"/>
  <c r="K88" i="3"/>
  <c r="M88" i="3" s="1"/>
  <c r="N88" i="3" l="1"/>
  <c r="R88" i="3" l="1"/>
  <c r="O88" i="3"/>
  <c r="Q88" i="3" s="1"/>
  <c r="J89" i="3" s="1"/>
  <c r="K89" i="3" l="1"/>
  <c r="M89" i="3" s="1"/>
  <c r="L89" i="3"/>
  <c r="N89" i="3" l="1"/>
  <c r="R89" i="3" l="1"/>
  <c r="O89" i="3"/>
  <c r="Q89" i="3" s="1"/>
  <c r="J90" i="3" s="1"/>
  <c r="L90" i="3" l="1"/>
  <c r="K90" i="3"/>
  <c r="M90" i="3" s="1"/>
  <c r="N90" i="3" s="1"/>
  <c r="R90" i="3" l="1"/>
  <c r="O90" i="3"/>
  <c r="Q90" i="3" s="1"/>
  <c r="J91" i="3" s="1"/>
  <c r="L91" i="3" l="1"/>
  <c r="K91" i="3"/>
  <c r="M91" i="3" s="1"/>
  <c r="N91" i="3" l="1"/>
  <c r="R91" i="3" l="1"/>
  <c r="O91" i="3"/>
  <c r="Q91" i="3" s="1"/>
  <c r="J92" i="3" s="1"/>
  <c r="K92" i="3" l="1"/>
  <c r="M92" i="3" s="1"/>
  <c r="L92" i="3"/>
  <c r="N92" i="3" l="1"/>
  <c r="R92" i="3" l="1"/>
  <c r="O92" i="3"/>
  <c r="Q92" i="3" s="1"/>
  <c r="J93" i="3" s="1"/>
  <c r="L93" i="3" l="1"/>
  <c r="K93" i="3"/>
  <c r="M93" i="3" s="1"/>
  <c r="N93" i="3" l="1"/>
  <c r="R93" i="3" l="1"/>
  <c r="O93" i="3"/>
  <c r="Q93" i="3" s="1"/>
  <c r="J94" i="3" s="1"/>
  <c r="K94" i="3" l="1"/>
  <c r="M94" i="3" s="1"/>
  <c r="L94" i="3"/>
  <c r="N94" i="3" l="1"/>
  <c r="R94" i="3" l="1"/>
  <c r="O94" i="3"/>
  <c r="Q94" i="3" s="1"/>
  <c r="J95" i="3" s="1"/>
  <c r="K95" i="3" l="1"/>
  <c r="M95" i="3" s="1"/>
  <c r="L95" i="3"/>
  <c r="N95" i="3" l="1"/>
  <c r="R95" i="3" l="1"/>
  <c r="O95" i="3"/>
  <c r="Q95" i="3" s="1"/>
  <c r="J96" i="3" s="1"/>
  <c r="K96" i="3" l="1"/>
  <c r="M96" i="3" s="1"/>
  <c r="L96" i="3"/>
  <c r="N96" i="3" l="1"/>
  <c r="R96" i="3" l="1"/>
  <c r="O96" i="3"/>
  <c r="Q96" i="3" s="1"/>
  <c r="J97" i="3" s="1"/>
  <c r="K97" i="3" l="1"/>
  <c r="M97" i="3" s="1"/>
  <c r="N97" i="3" s="1"/>
  <c r="R97" i="3" s="1"/>
  <c r="L97" i="3"/>
  <c r="O97" i="3" l="1"/>
  <c r="Q97" i="3" s="1"/>
  <c r="J98" i="3" s="1"/>
  <c r="K98" i="3" l="1"/>
  <c r="M98" i="3" s="1"/>
  <c r="N98" i="3" s="1"/>
  <c r="R98" i="3" s="1"/>
  <c r="L98" i="3"/>
  <c r="O98" i="3" l="1"/>
  <c r="Q98" i="3" s="1"/>
  <c r="J99" i="3" s="1"/>
  <c r="K99" i="3" l="1"/>
  <c r="M99" i="3" s="1"/>
  <c r="L99" i="3"/>
  <c r="N99" i="3" l="1"/>
  <c r="R99" i="3" l="1"/>
  <c r="O99" i="3"/>
  <c r="Q99" i="3" s="1"/>
  <c r="J100" i="3" s="1"/>
  <c r="K100" i="3" l="1"/>
  <c r="M100" i="3" s="1"/>
  <c r="L100" i="3"/>
  <c r="N100" i="3" l="1"/>
  <c r="R100" i="3" l="1"/>
  <c r="O100" i="3"/>
  <c r="Q100" i="3" s="1"/>
  <c r="J101" i="3" s="1"/>
  <c r="K101" i="3" l="1"/>
  <c r="M101" i="3" s="1"/>
  <c r="L101" i="3"/>
  <c r="N101" i="3" l="1"/>
  <c r="R101" i="3" l="1"/>
  <c r="O101" i="3"/>
  <c r="Q101" i="3" s="1"/>
  <c r="J102" i="3" s="1"/>
  <c r="K102" i="3" l="1"/>
  <c r="M102" i="3" s="1"/>
  <c r="L102" i="3"/>
  <c r="N102" i="3" l="1"/>
  <c r="R102" i="3" l="1"/>
  <c r="O102" i="3"/>
  <c r="Q102" i="3" s="1"/>
  <c r="J103" i="3" s="1"/>
  <c r="L103" i="3" l="1"/>
  <c r="K103" i="3"/>
  <c r="M103" i="3" s="1"/>
  <c r="N103" i="3" s="1"/>
  <c r="R103" i="3" s="1"/>
  <c r="O103" i="3" l="1"/>
  <c r="Q103" i="3" s="1"/>
  <c r="J104" i="3" s="1"/>
  <c r="L104" i="3" l="1"/>
  <c r="K104" i="3"/>
  <c r="M104" i="3" s="1"/>
  <c r="N104" i="3" s="1"/>
  <c r="R104" i="3" s="1"/>
  <c r="O104" i="3"/>
  <c r="Q104" i="3" s="1"/>
  <c r="J105" i="3" s="1"/>
  <c r="K105" i="3" l="1"/>
  <c r="M105" i="3" s="1"/>
  <c r="L105" i="3"/>
  <c r="N105" i="3" l="1"/>
  <c r="R105" i="3" l="1"/>
  <c r="O105" i="3"/>
  <c r="Q105" i="3" s="1"/>
  <c r="J106" i="3" s="1"/>
  <c r="L106" i="3" l="1"/>
  <c r="K106" i="3"/>
  <c r="M106" i="3" s="1"/>
  <c r="N106" i="3" s="1"/>
  <c r="R106" i="3" s="1"/>
  <c r="O106" i="3"/>
  <c r="Q106" i="3" s="1"/>
  <c r="J107" i="3" s="1"/>
  <c r="L107" i="3" l="1"/>
  <c r="K107" i="3"/>
  <c r="M107" i="3" s="1"/>
  <c r="N107" i="3" l="1"/>
  <c r="R107" i="3" l="1"/>
  <c r="O107" i="3"/>
  <c r="Q107" i="3" s="1"/>
  <c r="J108" i="3" s="1"/>
  <c r="L108" i="3" l="1"/>
  <c r="K108" i="3"/>
  <c r="M108" i="3" s="1"/>
  <c r="N108" i="3" l="1"/>
  <c r="R108" i="3" l="1"/>
  <c r="O108" i="3"/>
  <c r="Q108" i="3" s="1"/>
  <c r="J109" i="3" s="1"/>
  <c r="K109" i="3" l="1"/>
  <c r="M109" i="3" s="1"/>
  <c r="N109" i="3" s="1"/>
  <c r="R109" i="3" s="1"/>
  <c r="L109" i="3"/>
  <c r="O109" i="3" l="1"/>
  <c r="Q109" i="3" s="1"/>
  <c r="J110" i="3" s="1"/>
  <c r="K110" i="3" l="1"/>
  <c r="M110" i="3" s="1"/>
  <c r="N110" i="3" s="1"/>
  <c r="R110" i="3" s="1"/>
  <c r="L110" i="3"/>
  <c r="O110" i="3" l="1"/>
  <c r="Q110" i="3" s="1"/>
  <c r="J111" i="3" s="1"/>
  <c r="K111" i="3" l="1"/>
  <c r="M111" i="3" s="1"/>
  <c r="L111" i="3"/>
  <c r="N111" i="3" l="1"/>
  <c r="R111" i="3" l="1"/>
  <c r="O111" i="3"/>
  <c r="Q111" i="3" s="1"/>
  <c r="J112" i="3" s="1"/>
  <c r="K112" i="3" l="1"/>
  <c r="M112" i="3" s="1"/>
  <c r="L112" i="3"/>
  <c r="N112" i="3" l="1"/>
  <c r="O112" i="3" l="1"/>
  <c r="Q112" i="3" s="1"/>
  <c r="J113" i="3" s="1"/>
  <c r="R112" i="3"/>
  <c r="K113" i="3" l="1"/>
  <c r="M113" i="3" s="1"/>
  <c r="L113" i="3"/>
  <c r="N113" i="3" l="1"/>
  <c r="R113" i="3" l="1"/>
  <c r="O113" i="3"/>
  <c r="Q113" i="3" s="1"/>
  <c r="J114" i="3" s="1"/>
  <c r="L114" i="3" l="1"/>
  <c r="K114" i="3"/>
  <c r="M114" i="3" s="1"/>
  <c r="N114" i="3" s="1"/>
  <c r="R114" i="3" s="1"/>
  <c r="O114" i="3" l="1"/>
  <c r="Q114" i="3" s="1"/>
  <c r="J115" i="3" s="1"/>
  <c r="K115" i="3" l="1"/>
  <c r="M115" i="3" s="1"/>
  <c r="L115" i="3"/>
  <c r="N115" i="3" l="1"/>
  <c r="R115" i="3" l="1"/>
  <c r="O115" i="3"/>
  <c r="Q115" i="3" s="1"/>
  <c r="J116" i="3" s="1"/>
  <c r="K116" i="3" l="1"/>
  <c r="M116" i="3" s="1"/>
  <c r="L116" i="3"/>
  <c r="N116" i="3" l="1"/>
  <c r="R116" i="3" l="1"/>
  <c r="O116" i="3"/>
  <c r="Q116" i="3" s="1"/>
  <c r="J117" i="3" s="1"/>
  <c r="L117" i="3" l="1"/>
  <c r="K117" i="3"/>
  <c r="M117" i="3" s="1"/>
  <c r="N117" i="3" s="1"/>
  <c r="R117" i="3" s="1"/>
  <c r="O117" i="3"/>
  <c r="Q117" i="3" s="1"/>
  <c r="J118" i="3" s="1"/>
  <c r="K118" i="3" l="1"/>
  <c r="M118" i="3" s="1"/>
  <c r="L118" i="3"/>
  <c r="N118" i="3" l="1"/>
  <c r="R118" i="3" l="1"/>
  <c r="O118" i="3"/>
  <c r="Q118" i="3" s="1"/>
  <c r="J119" i="3" s="1"/>
  <c r="L119" i="3" l="1"/>
  <c r="K119" i="3"/>
  <c r="M119" i="3" s="1"/>
  <c r="N119" i="3" s="1"/>
  <c r="R119" i="3" s="1"/>
  <c r="O119" i="3"/>
  <c r="Q119" i="3" s="1"/>
  <c r="J120" i="3" s="1"/>
  <c r="K120" i="3" l="1"/>
  <c r="M120" i="3" s="1"/>
  <c r="L120" i="3"/>
  <c r="N120" i="3" l="1"/>
  <c r="R120" i="3" l="1"/>
  <c r="O120" i="3"/>
  <c r="Q120" i="3" s="1"/>
  <c r="J121" i="3" s="1"/>
  <c r="L121" i="3" l="1"/>
  <c r="K121" i="3"/>
  <c r="M121" i="3" s="1"/>
  <c r="N121" i="3" s="1"/>
  <c r="R121" i="3" l="1"/>
  <c r="O121" i="3"/>
  <c r="Q121" i="3" s="1"/>
  <c r="J122" i="3" s="1"/>
  <c r="K122" i="3" l="1"/>
  <c r="M122" i="3" s="1"/>
  <c r="L122" i="3"/>
  <c r="N122" i="3" l="1"/>
  <c r="R122" i="3" l="1"/>
  <c r="O122" i="3"/>
  <c r="Q122" i="3" s="1"/>
  <c r="J123" i="3" s="1"/>
  <c r="L123" i="3" l="1"/>
  <c r="K123" i="3"/>
  <c r="M123" i="3" s="1"/>
  <c r="N123" i="3" s="1"/>
  <c r="R123" i="3" s="1"/>
  <c r="O123" i="3"/>
  <c r="Q123" i="3" s="1"/>
  <c r="J124" i="3" s="1"/>
  <c r="K124" i="3" l="1"/>
  <c r="M124" i="3" s="1"/>
  <c r="L124" i="3"/>
  <c r="N124" i="3" s="1"/>
  <c r="R124" i="3" l="1"/>
  <c r="O124" i="3"/>
  <c r="Q124" i="3" s="1"/>
  <c r="J125" i="3" s="1"/>
  <c r="L125" i="3" l="1"/>
  <c r="K125" i="3"/>
  <c r="M125" i="3" s="1"/>
  <c r="N125" i="3" s="1"/>
  <c r="R125" i="3"/>
  <c r="O125" i="3"/>
  <c r="Q125" i="3" s="1"/>
  <c r="J126" i="3" s="1"/>
  <c r="K126" i="3" l="1"/>
  <c r="M126" i="3" s="1"/>
  <c r="L126" i="3"/>
  <c r="N126" i="3" l="1"/>
  <c r="R126" i="3" s="1"/>
  <c r="O126" i="3" l="1"/>
  <c r="Q126" i="3" s="1"/>
  <c r="J127" i="3" s="1"/>
  <c r="K127" i="3" l="1"/>
  <c r="M127" i="3" s="1"/>
  <c r="L127" i="3"/>
  <c r="N127" i="3" l="1"/>
  <c r="R127" i="3" s="1"/>
  <c r="O127" i="3"/>
  <c r="Q127" i="3" s="1"/>
  <c r="J128" i="3" s="1"/>
  <c r="K128" i="3"/>
  <c r="M128" i="3" s="1"/>
  <c r="L128" i="3"/>
  <c r="N128" i="3" l="1"/>
  <c r="R128" i="3" l="1"/>
  <c r="O128" i="3"/>
  <c r="Q128" i="3" s="1"/>
  <c r="J129" i="3" s="1"/>
  <c r="K129" i="3" l="1"/>
  <c r="M129" i="3" s="1"/>
  <c r="L129" i="3"/>
  <c r="N129" i="3" l="1"/>
  <c r="R129" i="3" l="1"/>
  <c r="O129" i="3"/>
  <c r="Q129" i="3" s="1"/>
  <c r="J130" i="3" s="1"/>
  <c r="K130" i="3" l="1"/>
  <c r="M130" i="3" s="1"/>
  <c r="L130" i="3"/>
  <c r="N130" i="3" l="1"/>
  <c r="R130" i="3" l="1"/>
  <c r="O130" i="3"/>
  <c r="Q130" i="3" s="1"/>
  <c r="J131" i="3" s="1"/>
  <c r="K131" i="3" l="1"/>
  <c r="M131" i="3" s="1"/>
  <c r="L131" i="3"/>
  <c r="N131" i="3" l="1"/>
  <c r="R131" i="3" l="1"/>
  <c r="O131" i="3"/>
  <c r="Q131" i="3" s="1"/>
  <c r="J132" i="3" s="1"/>
  <c r="L132" i="3" l="1"/>
  <c r="K132" i="3"/>
  <c r="M132" i="3" s="1"/>
  <c r="N132" i="3" l="1"/>
  <c r="R132" i="3" l="1"/>
  <c r="O132" i="3"/>
  <c r="Q132" i="3" s="1"/>
  <c r="J133" i="3" s="1"/>
  <c r="L133" i="3" l="1"/>
  <c r="K133" i="3"/>
  <c r="M133" i="3" s="1"/>
  <c r="N133" i="3" s="1"/>
  <c r="R133" i="3" s="1"/>
  <c r="O133" i="3" l="1"/>
  <c r="Q133" i="3" s="1"/>
  <c r="J134" i="3" s="1"/>
  <c r="L134" i="3" l="1"/>
  <c r="K134" i="3"/>
  <c r="M134" i="3" s="1"/>
  <c r="N134" i="3" s="1"/>
  <c r="O134" i="3" l="1"/>
  <c r="Q134" i="3" s="1"/>
  <c r="J135" i="3" s="1"/>
  <c r="R134" i="3"/>
  <c r="K135" i="3" l="1"/>
  <c r="M135" i="3" s="1"/>
  <c r="L135" i="3"/>
  <c r="N135" i="3" l="1"/>
  <c r="R135" i="3"/>
  <c r="O135" i="3"/>
  <c r="Q135" i="3" s="1"/>
  <c r="J136" i="3" s="1"/>
  <c r="K136" i="3" l="1"/>
  <c r="M136" i="3" s="1"/>
  <c r="L136" i="3"/>
  <c r="N136" i="3" l="1"/>
  <c r="R136" i="3" l="1"/>
  <c r="O136" i="3"/>
  <c r="Q136" i="3" s="1"/>
  <c r="J137" i="3" s="1"/>
  <c r="K137" i="3" l="1"/>
  <c r="M137" i="3" s="1"/>
  <c r="L137" i="3"/>
  <c r="N137" i="3" l="1"/>
  <c r="R137" i="3" l="1"/>
  <c r="O137" i="3"/>
  <c r="Q137" i="3" s="1"/>
  <c r="J138" i="3" s="1"/>
  <c r="K138" i="3" l="1"/>
  <c r="M138" i="3" s="1"/>
  <c r="L138" i="3"/>
  <c r="N138" i="3" l="1"/>
  <c r="R138" i="3" s="1"/>
  <c r="O138" i="3"/>
  <c r="Q138" i="3" s="1"/>
  <c r="J139" i="3" s="1"/>
  <c r="L139" i="3" s="1"/>
  <c r="K139" i="3" l="1"/>
  <c r="M139" i="3" s="1"/>
  <c r="N139" i="3" s="1"/>
  <c r="R139" i="3" s="1"/>
  <c r="O139" i="3" l="1"/>
  <c r="Q139" i="3" s="1"/>
  <c r="J140" i="3" s="1"/>
  <c r="L140" i="3" s="1"/>
  <c r="K140" i="3" l="1"/>
  <c r="M140" i="3" s="1"/>
  <c r="N140" i="3" s="1"/>
  <c r="R140" i="3" s="1"/>
  <c r="O140" i="3"/>
  <c r="Q140" i="3" s="1"/>
  <c r="J141" i="3" s="1"/>
  <c r="L141" i="3" s="1"/>
  <c r="K141" i="3" l="1"/>
  <c r="M141" i="3" s="1"/>
  <c r="N141" i="3" s="1"/>
  <c r="R141" i="3" s="1"/>
  <c r="R18" i="3" s="1"/>
  <c r="O141" i="3" l="1"/>
  <c r="Q141" i="3" s="1"/>
</calcChain>
</file>

<file path=xl/sharedStrings.xml><?xml version="1.0" encoding="utf-8"?>
<sst xmlns="http://schemas.openxmlformats.org/spreadsheetml/2006/main" count="157" uniqueCount="92">
  <si>
    <t>Usted ha realizado un préstamo por $100 millones que debe cancelar en 24 cuotas mensuales vencidas que crecen al 1%. Ademas paga 10 millones en forma de pago extra no programado en el mes 10. La tasa de interes ofrecida por el banco es de IPC + 0.9%. ¿De cuanto es la cuota 16, antes y despues del abono extra, si la inflacion esperada para el periodo es de 3.1% anual?</t>
  </si>
  <si>
    <t>i</t>
  </si>
  <si>
    <t>IPC</t>
  </si>
  <si>
    <t>Spread</t>
  </si>
  <si>
    <t>E.A</t>
  </si>
  <si>
    <t>Tasa i</t>
  </si>
  <si>
    <t>E.M</t>
  </si>
  <si>
    <t>K</t>
  </si>
  <si>
    <t>(P/K,gp,0,33%,gp=1,00%,24)</t>
  </si>
  <si>
    <t>CAP</t>
  </si>
  <si>
    <t>K16</t>
  </si>
  <si>
    <t>gp</t>
  </si>
  <si>
    <t>n</t>
  </si>
  <si>
    <t>Kn</t>
  </si>
  <si>
    <t>Primero</t>
  </si>
  <si>
    <t>Segundo</t>
  </si>
  <si>
    <t>Saldo en 10</t>
  </si>
  <si>
    <t>P10</t>
  </si>
  <si>
    <t>=</t>
  </si>
  <si>
    <t>K11*P/K</t>
  </si>
  <si>
    <t>(P/K,gp,0,33%,gp=1,00%,14)</t>
  </si>
  <si>
    <t>Abono</t>
  </si>
  <si>
    <t>Nuevo Saldo</t>
  </si>
  <si>
    <t>Tercerp</t>
  </si>
  <si>
    <t>Nuevas K</t>
  </si>
  <si>
    <t>Saldo</t>
  </si>
  <si>
    <t>K6 (K16)</t>
  </si>
  <si>
    <t>K1 (K11)</t>
  </si>
  <si>
    <t>UVR</t>
  </si>
  <si>
    <t>Unidad de valor real</t>
  </si>
  <si>
    <t>P / UVRs</t>
  </si>
  <si>
    <t>UVR0</t>
  </si>
  <si>
    <t>Leasing</t>
  </si>
  <si>
    <t>Nota</t>
  </si>
  <si>
    <t>Si la amortizacion esta sobre las UVRs, la tasa i es el spread</t>
  </si>
  <si>
    <t>Si la amortizacion esta sobre pesos, la tasa i indexada entre el IPC y el spread</t>
  </si>
  <si>
    <t>i UVR</t>
  </si>
  <si>
    <t>i Pesos</t>
  </si>
  <si>
    <t>A</t>
  </si>
  <si>
    <t>A UVR</t>
  </si>
  <si>
    <t>A Pesos</t>
  </si>
  <si>
    <t>(P/A,0,80%,36)</t>
  </si>
  <si>
    <t>(P/F,0,80%,36)</t>
  </si>
  <si>
    <t>Usted quiere un carro tesla 150Millones, el banco le ofrece un credito en modalidad leasing con las siguientes caracteristicas: tasa UVR + 10, plazo 3 años, paga cuotas iguales de fin de mes y tiene una opcion de compra sobre el leasing el 10% del valor. Calcule las cuotas. Considere la inflacion en 4% E.A</t>
  </si>
  <si>
    <t>Inflacion</t>
  </si>
  <si>
    <t>A Pesos - UVR</t>
  </si>
  <si>
    <t>(P/F,1,13%,36)</t>
  </si>
  <si>
    <t>(P/A,1,13%,36)</t>
  </si>
  <si>
    <t>Monto del Credito: 1.000.000 UVRs; Plazo: 120 meses; Tasa de Interes es UVR + 10% E.A; Sistema de Amortizacion: Cuotas fijas mensuales en UVRs; Periodo de Gracia de 3 años</t>
  </si>
  <si>
    <t>UVRs</t>
  </si>
  <si>
    <t>UVR +</t>
  </si>
  <si>
    <t>Plazo</t>
  </si>
  <si>
    <t>meses</t>
  </si>
  <si>
    <t xml:space="preserve">Periodos </t>
  </si>
  <si>
    <t>Saldo Inicial</t>
  </si>
  <si>
    <t>Intereses</t>
  </si>
  <si>
    <t>Saldo ini + Intereses</t>
  </si>
  <si>
    <t>Cuotas</t>
  </si>
  <si>
    <t>Saldo final</t>
  </si>
  <si>
    <t>Abono a K</t>
  </si>
  <si>
    <t>i mensual</t>
  </si>
  <si>
    <t>(P/A,0,80%,84)</t>
  </si>
  <si>
    <t>(P/A,0,80%,120)</t>
  </si>
  <si>
    <t>UVRs (A Vencida sin periodo de Gracia)</t>
  </si>
  <si>
    <t>UVRs (A vencida con periodo de gracia)</t>
  </si>
  <si>
    <t>COP (A vencida con periodo de gracia)</t>
  </si>
  <si>
    <t>Interes</t>
  </si>
  <si>
    <t>Intereses Inflacion</t>
  </si>
  <si>
    <t>Intereses Totales</t>
  </si>
  <si>
    <t>Saldo Inicial + Intereses Totales</t>
  </si>
  <si>
    <t>Cuota</t>
  </si>
  <si>
    <t>Sum AbonoK</t>
  </si>
  <si>
    <t>Debe ocurrir:</t>
  </si>
  <si>
    <t>F de Caja UVRs</t>
  </si>
  <si>
    <t>Tir UVR</t>
  </si>
  <si>
    <t>F de Caja Pesos</t>
  </si>
  <si>
    <t>Tir Pesos</t>
  </si>
  <si>
    <t>(Spread)</t>
  </si>
  <si>
    <t>(Indexada IPC y Spread)</t>
  </si>
  <si>
    <t>Pesos (A vencida con periodo de gracia)</t>
  </si>
  <si>
    <t>Pesos</t>
  </si>
  <si>
    <t>En UVRs</t>
  </si>
  <si>
    <t>En pesos</t>
  </si>
  <si>
    <t>(P/A,001%,84)</t>
  </si>
  <si>
    <t>(P/F,001%,36)</t>
  </si>
  <si>
    <t>MotoAI</t>
  </si>
  <si>
    <t>Renting</t>
  </si>
  <si>
    <t>$/dia</t>
  </si>
  <si>
    <t>1)</t>
  </si>
  <si>
    <t>2)</t>
  </si>
  <si>
    <t>Credito</t>
  </si>
  <si>
    <t>Credito que cobra IPC + 2, con periodo de gracia de 1 año y un abono programado de 1 millon en el mes 18. Plazo Total 5 años.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</si>
</sst>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0" borderId="0" xfId="2" applyNumberFormat="1" applyFont="1" applyAlignment="1">
      <alignment vertical="center" wrapText="1"/>
    </xf>
    <xf numFmtId="44" fontId="0" fillId="0" borderId="0" xfId="1" applyFont="1"/>
    <xf numFmtId="9" fontId="0" fillId="0" borderId="0" xfId="0" applyNumberFormat="1"/>
    <xf numFmtId="44" fontId="0" fillId="0" borderId="0" xfId="0" applyNumberFormat="1"/>
    <xf numFmtId="44" fontId="0" fillId="2" borderId="0" xfId="1" applyFont="1" applyFill="1"/>
    <xf numFmtId="9" fontId="0" fillId="0" borderId="0" xfId="2" applyFont="1"/>
    <xf numFmtId="10" fontId="0" fillId="0" borderId="0" xfId="2" applyNumberFormat="1" applyFont="1"/>
    <xf numFmtId="164" fontId="0" fillId="0" borderId="0" xfId="2" applyNumberFormat="1" applyFont="1"/>
    <xf numFmtId="0" fontId="0" fillId="2" borderId="0" xfId="0" applyFill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44" fontId="0" fillId="2" borderId="0" xfId="0" applyNumberFormat="1" applyFill="1"/>
    <xf numFmtId="44" fontId="0" fillId="3" borderId="0" xfId="0" applyNumberFormat="1" applyFill="1"/>
    <xf numFmtId="0" fontId="0" fillId="0" borderId="1" xfId="0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C5D0-1038-4737-BB20-AE8CE17F2C38}">
  <dimension ref="A1:I28"/>
  <sheetViews>
    <sheetView topLeftCell="A10" workbookViewId="0">
      <selection activeCell="C20" sqref="C20"/>
    </sheetView>
  </sheetViews>
  <sheetFormatPr baseColWidth="10" defaultRowHeight="15" x14ac:dyDescent="0.25"/>
  <cols>
    <col min="3" max="3" width="16.7109375" bestFit="1" customWidth="1"/>
    <col min="4" max="4" width="13.140625" bestFit="1" customWidth="1"/>
    <col min="5" max="5" width="14.5703125" bestFit="1" customWidth="1"/>
    <col min="9" max="9" width="18.85546875" bestFit="1" customWidth="1"/>
  </cols>
  <sheetData>
    <row r="1" spans="1:9" ht="15" customHeight="1" x14ac:dyDescent="0.25">
      <c r="A1" s="13" t="s">
        <v>43</v>
      </c>
      <c r="B1" s="13"/>
      <c r="C1" s="13"/>
      <c r="D1" s="13"/>
      <c r="E1" s="13"/>
    </row>
    <row r="2" spans="1:9" x14ac:dyDescent="0.25">
      <c r="A2" s="13"/>
      <c r="B2" s="13"/>
      <c r="C2" s="13"/>
      <c r="D2" s="13"/>
      <c r="E2" s="13"/>
      <c r="H2" t="s">
        <v>28</v>
      </c>
      <c r="I2" t="s">
        <v>29</v>
      </c>
    </row>
    <row r="3" spans="1:9" x14ac:dyDescent="0.25">
      <c r="A3" s="13"/>
      <c r="B3" s="13"/>
      <c r="C3" s="13"/>
      <c r="D3" s="13"/>
      <c r="E3" s="13"/>
      <c r="H3" t="s">
        <v>33</v>
      </c>
      <c r="I3" t="s">
        <v>34</v>
      </c>
    </row>
    <row r="4" spans="1:9" x14ac:dyDescent="0.25">
      <c r="A4" s="13"/>
      <c r="B4" s="13"/>
      <c r="C4" s="13"/>
      <c r="D4" s="13"/>
      <c r="E4" s="13"/>
      <c r="I4" t="s">
        <v>35</v>
      </c>
    </row>
    <row r="5" spans="1:9" x14ac:dyDescent="0.25">
      <c r="A5" s="13"/>
      <c r="B5" s="13"/>
      <c r="C5" s="13"/>
      <c r="D5" s="13"/>
      <c r="E5" s="13"/>
    </row>
    <row r="6" spans="1:9" x14ac:dyDescent="0.25">
      <c r="A6" s="13"/>
      <c r="B6" s="13"/>
      <c r="C6" s="13"/>
      <c r="D6" s="13"/>
      <c r="E6" s="13"/>
    </row>
    <row r="7" spans="1:9" x14ac:dyDescent="0.25">
      <c r="A7" s="13"/>
      <c r="B7" s="13"/>
      <c r="C7" s="13"/>
      <c r="D7" s="13"/>
      <c r="E7" s="13"/>
    </row>
    <row r="8" spans="1:9" x14ac:dyDescent="0.25">
      <c r="A8" s="13"/>
      <c r="B8" s="13"/>
      <c r="C8" s="13"/>
      <c r="D8" s="13"/>
      <c r="E8" s="13"/>
    </row>
    <row r="9" spans="1:9" x14ac:dyDescent="0.25">
      <c r="C9" t="s">
        <v>28</v>
      </c>
      <c r="D9" t="s">
        <v>3</v>
      </c>
      <c r="E9" t="s">
        <v>44</v>
      </c>
    </row>
    <row r="10" spans="1:9" x14ac:dyDescent="0.25">
      <c r="B10" t="s">
        <v>1</v>
      </c>
      <c r="D10" s="8">
        <v>0.1</v>
      </c>
      <c r="E10" s="5">
        <v>0.04</v>
      </c>
      <c r="F10" t="s">
        <v>4</v>
      </c>
    </row>
    <row r="13" spans="1:9" x14ac:dyDescent="0.25">
      <c r="B13" t="s">
        <v>9</v>
      </c>
      <c r="C13" s="4">
        <v>150000000</v>
      </c>
    </row>
    <row r="14" spans="1:9" x14ac:dyDescent="0.25">
      <c r="B14" t="s">
        <v>30</v>
      </c>
      <c r="C14" s="4">
        <f>+C13/C15</f>
        <v>358585.73784991994</v>
      </c>
    </row>
    <row r="15" spans="1:9" x14ac:dyDescent="0.25">
      <c r="B15" t="s">
        <v>31</v>
      </c>
      <c r="C15">
        <v>418.31</v>
      </c>
    </row>
    <row r="17" spans="2:5" x14ac:dyDescent="0.25">
      <c r="B17" t="s">
        <v>32</v>
      </c>
      <c r="C17" s="4">
        <f>+C14*10%</f>
        <v>35858.573784991997</v>
      </c>
    </row>
    <row r="19" spans="2:5" x14ac:dyDescent="0.25">
      <c r="B19" t="s">
        <v>36</v>
      </c>
      <c r="C19" s="10">
        <f>+(1+D10)^(1/12)-1</f>
        <v>7.9741404289037643E-3</v>
      </c>
      <c r="D19" t="s">
        <v>6</v>
      </c>
    </row>
    <row r="20" spans="2:5" x14ac:dyDescent="0.25">
      <c r="B20" t="s">
        <v>37</v>
      </c>
      <c r="C20" s="10">
        <f>+(((1+4%)*(1+D10)-1)+1)^(1/12)-1</f>
        <v>1.1273985471853543E-2</v>
      </c>
      <c r="D20" t="s">
        <v>6</v>
      </c>
    </row>
    <row r="22" spans="2:5" x14ac:dyDescent="0.25">
      <c r="B22" t="s">
        <v>39</v>
      </c>
      <c r="C22" s="4">
        <f>+(C14-C17*C24)/C23</f>
        <v>10634.252082213679</v>
      </c>
      <c r="D22" s="11" t="s">
        <v>45</v>
      </c>
      <c r="E22" s="7">
        <f>+C22*C15</f>
        <v>4448413.9885108043</v>
      </c>
    </row>
    <row r="23" spans="2:5" x14ac:dyDescent="0.25">
      <c r="B23" t="s">
        <v>41</v>
      </c>
      <c r="C23">
        <v>31.186458442218662</v>
      </c>
    </row>
    <row r="24" spans="2:5" x14ac:dyDescent="0.25">
      <c r="B24" t="s">
        <v>42</v>
      </c>
      <c r="C24">
        <v>0.75131480090157698</v>
      </c>
    </row>
    <row r="26" spans="2:5" x14ac:dyDescent="0.25">
      <c r="B26" s="11" t="s">
        <v>40</v>
      </c>
      <c r="C26" s="7">
        <f>+(C13-C13*10%*C28)/C27</f>
        <v>4752253.2001243643</v>
      </c>
    </row>
    <row r="27" spans="2:5" x14ac:dyDescent="0.25">
      <c r="B27" t="s">
        <v>47</v>
      </c>
      <c r="C27">
        <v>29.455765985507831</v>
      </c>
    </row>
    <row r="28" spans="2:5" x14ac:dyDescent="0.25">
      <c r="B28" t="s">
        <v>46</v>
      </c>
      <c r="C28">
        <v>0.66791612221706698</v>
      </c>
    </row>
  </sheetData>
  <mergeCells count="1">
    <mergeCell ref="A1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9FDD-8D43-47CF-8A01-BEF74F7EBC42}">
  <dimension ref="A1:K31"/>
  <sheetViews>
    <sheetView topLeftCell="A11" workbookViewId="0">
      <selection activeCell="F29" sqref="F29"/>
    </sheetView>
  </sheetViews>
  <sheetFormatPr baseColWidth="10" defaultRowHeight="15" x14ac:dyDescent="0.25"/>
  <cols>
    <col min="3" max="3" width="16.7109375" bestFit="1" customWidth="1"/>
    <col min="10" max="11" width="14.5703125" bestFit="1" customWidth="1"/>
  </cols>
  <sheetData>
    <row r="1" spans="1:11" ht="15" customHeight="1" x14ac:dyDescent="0.25">
      <c r="A1" s="13" t="s">
        <v>0</v>
      </c>
      <c r="B1" s="13"/>
      <c r="C1" s="13"/>
      <c r="D1" s="13"/>
      <c r="E1" s="13"/>
      <c r="F1" s="1"/>
      <c r="G1" s="1"/>
      <c r="H1" s="1"/>
      <c r="I1" t="s">
        <v>12</v>
      </c>
      <c r="J1" t="s">
        <v>13</v>
      </c>
    </row>
    <row r="2" spans="1:11" x14ac:dyDescent="0.25">
      <c r="A2" s="13"/>
      <c r="B2" s="13"/>
      <c r="C2" s="13"/>
      <c r="D2" s="13"/>
      <c r="E2" s="13"/>
      <c r="F2" s="1"/>
      <c r="G2" s="1"/>
      <c r="H2" s="1"/>
      <c r="I2">
        <v>0</v>
      </c>
    </row>
    <row r="3" spans="1:11" x14ac:dyDescent="0.25">
      <c r="A3" s="13"/>
      <c r="B3" s="13"/>
      <c r="C3" s="13"/>
      <c r="D3" s="13"/>
      <c r="E3" s="13"/>
      <c r="F3" s="1"/>
      <c r="G3" s="1"/>
      <c r="H3" s="1"/>
      <c r="I3">
        <v>1</v>
      </c>
      <c r="J3" s="4">
        <f>+C17</f>
        <v>3868084.9615123761</v>
      </c>
    </row>
    <row r="4" spans="1:11" x14ac:dyDescent="0.25">
      <c r="A4" s="13"/>
      <c r="B4" s="13"/>
      <c r="C4" s="13"/>
      <c r="D4" s="13"/>
      <c r="E4" s="13"/>
      <c r="F4" s="1"/>
      <c r="G4" s="1"/>
      <c r="H4" s="1"/>
      <c r="I4">
        <v>2</v>
      </c>
      <c r="J4" s="4">
        <f>+J3*(1+$E$16)</f>
        <v>3906765.8111274997</v>
      </c>
    </row>
    <row r="5" spans="1:11" x14ac:dyDescent="0.25">
      <c r="A5" s="13"/>
      <c r="B5" s="13"/>
      <c r="C5" s="13"/>
      <c r="D5" s="13"/>
      <c r="E5" s="13"/>
      <c r="F5" s="1"/>
      <c r="G5" s="1"/>
      <c r="H5" s="1"/>
      <c r="I5">
        <v>3</v>
      </c>
      <c r="J5" s="4">
        <f t="shared" ref="J5:K26" si="0">+J4*(1+$E$16)</f>
        <v>3945833.4692387749</v>
      </c>
    </row>
    <row r="6" spans="1:11" x14ac:dyDescent="0.25">
      <c r="A6" s="13"/>
      <c r="B6" s="13"/>
      <c r="C6" s="13"/>
      <c r="D6" s="13"/>
      <c r="E6" s="13"/>
      <c r="F6" s="1"/>
      <c r="G6" s="1"/>
      <c r="H6" s="1"/>
      <c r="I6">
        <v>4</v>
      </c>
      <c r="J6" s="4">
        <f t="shared" si="0"/>
        <v>3985291.8039311627</v>
      </c>
    </row>
    <row r="7" spans="1:11" x14ac:dyDescent="0.25">
      <c r="A7" s="13"/>
      <c r="B7" s="13"/>
      <c r="C7" s="13"/>
      <c r="D7" s="13"/>
      <c r="E7" s="13"/>
      <c r="F7" s="1"/>
      <c r="G7" s="1"/>
      <c r="H7" s="1"/>
      <c r="I7">
        <v>5</v>
      </c>
      <c r="J7" s="4">
        <f t="shared" si="0"/>
        <v>4025144.7219704743</v>
      </c>
    </row>
    <row r="8" spans="1:11" x14ac:dyDescent="0.25">
      <c r="A8" s="13"/>
      <c r="B8" s="13"/>
      <c r="C8" s="13"/>
      <c r="D8" s="13"/>
      <c r="E8" s="13"/>
      <c r="F8" s="1"/>
      <c r="G8" s="1"/>
      <c r="H8" s="1"/>
      <c r="I8">
        <v>6</v>
      </c>
      <c r="J8" s="4">
        <f t="shared" si="0"/>
        <v>4065396.1691901791</v>
      </c>
    </row>
    <row r="9" spans="1:11" x14ac:dyDescent="0.25">
      <c r="A9" s="13"/>
      <c r="B9" s="13"/>
      <c r="C9" s="13"/>
      <c r="D9" s="13"/>
      <c r="E9" s="13"/>
      <c r="F9" s="1"/>
      <c r="G9" s="1"/>
      <c r="H9" s="1"/>
      <c r="I9">
        <v>7</v>
      </c>
      <c r="J9" s="4">
        <f t="shared" si="0"/>
        <v>4106050.1308820811</v>
      </c>
    </row>
    <row r="10" spans="1:11" x14ac:dyDescent="0.25">
      <c r="A10" s="13"/>
      <c r="B10" s="13"/>
      <c r="C10" s="13"/>
      <c r="D10" s="13"/>
      <c r="E10" s="13"/>
      <c r="F10" s="1"/>
      <c r="G10" s="1"/>
      <c r="H10" s="1"/>
      <c r="I10">
        <v>8</v>
      </c>
      <c r="J10" s="4">
        <f t="shared" si="0"/>
        <v>4147110.6321909018</v>
      </c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>
        <v>9</v>
      </c>
      <c r="J11" s="4">
        <f t="shared" si="0"/>
        <v>4188581.7385128108</v>
      </c>
    </row>
    <row r="12" spans="1:11" x14ac:dyDescent="0.25">
      <c r="A12" s="1"/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>
        <v>10</v>
      </c>
      <c r="J12" s="4">
        <f t="shared" si="0"/>
        <v>4230467.555897939</v>
      </c>
    </row>
    <row r="13" spans="1:11" x14ac:dyDescent="0.25">
      <c r="A13" s="1"/>
      <c r="B13" s="1"/>
      <c r="C13" s="2">
        <v>3.1E-2</v>
      </c>
      <c r="D13" s="2">
        <v>8.9999999999999993E-3</v>
      </c>
      <c r="E13" s="1" t="s">
        <v>4</v>
      </c>
      <c r="F13" s="1"/>
      <c r="G13" s="1"/>
      <c r="H13" s="1"/>
      <c r="I13">
        <v>11</v>
      </c>
      <c r="J13" s="4">
        <f t="shared" si="0"/>
        <v>4272772.2314569186</v>
      </c>
      <c r="K13" s="6">
        <f>+C29</f>
        <v>3586738.9339559786</v>
      </c>
    </row>
    <row r="14" spans="1:11" x14ac:dyDescent="0.25">
      <c r="A14" s="1"/>
      <c r="B14" s="1" t="s">
        <v>5</v>
      </c>
      <c r="C14" s="3">
        <f>+(1+C13)*(1+D13)-1</f>
        <v>4.0278999999999732E-2</v>
      </c>
      <c r="D14" s="1" t="s">
        <v>4</v>
      </c>
      <c r="E14" s="1"/>
      <c r="F14" s="1"/>
      <c r="G14" s="1"/>
      <c r="H14" s="1"/>
      <c r="I14">
        <v>12</v>
      </c>
      <c r="J14" s="4">
        <f t="shared" si="0"/>
        <v>4315499.9537714878</v>
      </c>
      <c r="K14" s="4">
        <f t="shared" si="0"/>
        <v>3622606.3232955383</v>
      </c>
    </row>
    <row r="15" spans="1:11" x14ac:dyDescent="0.25">
      <c r="A15" s="1"/>
      <c r="B15" s="1"/>
      <c r="C15" s="3">
        <f>+(1+C14)^(1/12)-1</f>
        <v>3.2961659810821775E-3</v>
      </c>
      <c r="D15" s="1" t="s">
        <v>6</v>
      </c>
      <c r="E15" s="1"/>
      <c r="F15" s="1"/>
      <c r="G15" s="1"/>
      <c r="H15" s="1"/>
      <c r="I15">
        <v>13</v>
      </c>
      <c r="J15" s="4">
        <f t="shared" si="0"/>
        <v>4358654.9533092026</v>
      </c>
      <c r="K15" s="4">
        <f t="shared" si="0"/>
        <v>3658832.3865284938</v>
      </c>
    </row>
    <row r="16" spans="1:11" x14ac:dyDescent="0.25">
      <c r="A16" t="s">
        <v>14</v>
      </c>
      <c r="B16" t="s">
        <v>9</v>
      </c>
      <c r="C16" s="4">
        <v>100000000</v>
      </c>
      <c r="D16" s="1" t="s">
        <v>11</v>
      </c>
      <c r="E16" s="5">
        <v>0.01</v>
      </c>
      <c r="I16">
        <v>14</v>
      </c>
      <c r="J16" s="4">
        <f t="shared" si="0"/>
        <v>4402241.502842295</v>
      </c>
      <c r="K16" s="4">
        <f t="shared" si="0"/>
        <v>3695420.710393779</v>
      </c>
    </row>
    <row r="17" spans="1:11" x14ac:dyDescent="0.25">
      <c r="B17" t="s">
        <v>7</v>
      </c>
      <c r="C17" s="4">
        <f>+C16/C18</f>
        <v>3868084.9615123761</v>
      </c>
      <c r="I17">
        <v>15</v>
      </c>
      <c r="J17" s="4">
        <f t="shared" si="0"/>
        <v>4446263.9178707181</v>
      </c>
      <c r="K17" s="4">
        <f t="shared" si="0"/>
        <v>3732374.9174977168</v>
      </c>
    </row>
    <row r="18" spans="1:11" x14ac:dyDescent="0.25">
      <c r="B18" t="s">
        <v>8</v>
      </c>
      <c r="C18">
        <v>25.852586226777493</v>
      </c>
      <c r="I18">
        <v>16</v>
      </c>
      <c r="J18" s="7">
        <f t="shared" si="0"/>
        <v>4490726.5570494253</v>
      </c>
      <c r="K18" s="7">
        <f t="shared" si="0"/>
        <v>3769698.666672694</v>
      </c>
    </row>
    <row r="19" spans="1:11" x14ac:dyDescent="0.25">
      <c r="B19" t="s">
        <v>10</v>
      </c>
      <c r="C19" s="4">
        <f>+C17*(1+E16)^15</f>
        <v>4490726.5570494235</v>
      </c>
      <c r="I19">
        <v>17</v>
      </c>
      <c r="J19" s="4">
        <f t="shared" si="0"/>
        <v>4535633.8226199197</v>
      </c>
      <c r="K19" s="4">
        <f t="shared" si="0"/>
        <v>3807395.6533394209</v>
      </c>
    </row>
    <row r="20" spans="1:11" x14ac:dyDescent="0.25">
      <c r="I20">
        <v>18</v>
      </c>
      <c r="J20" s="4">
        <f t="shared" si="0"/>
        <v>4580990.1608461188</v>
      </c>
      <c r="K20" s="4">
        <f t="shared" si="0"/>
        <v>3845469.6098728152</v>
      </c>
    </row>
    <row r="21" spans="1:11" x14ac:dyDescent="0.25">
      <c r="A21" t="s">
        <v>15</v>
      </c>
      <c r="B21" t="s">
        <v>16</v>
      </c>
      <c r="I21">
        <v>19</v>
      </c>
      <c r="J21" s="4">
        <f t="shared" si="0"/>
        <v>4626800.0624545803</v>
      </c>
      <c r="K21" s="4">
        <f t="shared" si="0"/>
        <v>3883924.3059715433</v>
      </c>
    </row>
    <row r="22" spans="1:11" x14ac:dyDescent="0.25">
      <c r="B22" t="s">
        <v>17</v>
      </c>
      <c r="C22" t="s">
        <v>18</v>
      </c>
      <c r="D22" t="s">
        <v>19</v>
      </c>
      <c r="I22">
        <v>20</v>
      </c>
      <c r="J22" s="4">
        <f t="shared" si="0"/>
        <v>4673068.0630791262</v>
      </c>
      <c r="K22" s="4">
        <f t="shared" si="0"/>
        <v>3922763.5490312586</v>
      </c>
    </row>
    <row r="23" spans="1:11" x14ac:dyDescent="0.25">
      <c r="B23" t="s">
        <v>17</v>
      </c>
      <c r="C23" s="4">
        <f>+C17*(1+E16)^(10)*E23</f>
        <v>62282286.399532445</v>
      </c>
      <c r="D23" t="s">
        <v>20</v>
      </c>
      <c r="E23">
        <v>14.576551949340766</v>
      </c>
      <c r="I23">
        <v>21</v>
      </c>
      <c r="J23" s="4">
        <f t="shared" si="0"/>
        <v>4719798.7437099172</v>
      </c>
      <c r="K23" s="4">
        <f t="shared" si="0"/>
        <v>3961991.1845215713</v>
      </c>
    </row>
    <row r="24" spans="1:11" x14ac:dyDescent="0.25">
      <c r="B24" t="s">
        <v>21</v>
      </c>
      <c r="C24" s="4">
        <v>10000000</v>
      </c>
      <c r="I24">
        <v>22</v>
      </c>
      <c r="J24" s="4">
        <f t="shared" si="0"/>
        <v>4766996.7311470164</v>
      </c>
      <c r="K24" s="4">
        <f t="shared" si="0"/>
        <v>4001611.0963667869</v>
      </c>
    </row>
    <row r="25" spans="1:11" x14ac:dyDescent="0.25">
      <c r="B25" t="s">
        <v>22</v>
      </c>
      <c r="C25" s="6">
        <f>+C23-C24</f>
        <v>52282286.399532445</v>
      </c>
      <c r="I25">
        <v>23</v>
      </c>
      <c r="J25" s="4">
        <f t="shared" si="0"/>
        <v>4814666.6984584862</v>
      </c>
      <c r="K25" s="4">
        <f t="shared" si="0"/>
        <v>4041627.2073304546</v>
      </c>
    </row>
    <row r="26" spans="1:11" x14ac:dyDescent="0.25">
      <c r="I26">
        <v>24</v>
      </c>
      <c r="J26" s="4">
        <f t="shared" si="0"/>
        <v>4862813.3654430714</v>
      </c>
      <c r="K26" s="4">
        <f t="shared" si="0"/>
        <v>4082043.4794037594</v>
      </c>
    </row>
    <row r="27" spans="1:11" x14ac:dyDescent="0.25">
      <c r="A27" t="s">
        <v>23</v>
      </c>
      <c r="B27" t="s">
        <v>24</v>
      </c>
    </row>
    <row r="28" spans="1:11" x14ac:dyDescent="0.25">
      <c r="B28" t="s">
        <v>25</v>
      </c>
      <c r="C28" s="6">
        <f>+C25</f>
        <v>52282286.399532445</v>
      </c>
    </row>
    <row r="29" spans="1:11" x14ac:dyDescent="0.25">
      <c r="B29" t="s">
        <v>27</v>
      </c>
      <c r="C29" s="4">
        <f>+C28/C30</f>
        <v>3586738.9339559786</v>
      </c>
    </row>
    <row r="30" spans="1:11" x14ac:dyDescent="0.25">
      <c r="B30" t="s">
        <v>20</v>
      </c>
      <c r="C30">
        <v>14.576551949340766</v>
      </c>
    </row>
    <row r="31" spans="1:11" x14ac:dyDescent="0.25">
      <c r="B31" t="s">
        <v>26</v>
      </c>
      <c r="C31" s="4">
        <f>+C29*(1+E16)^5</f>
        <v>3769698.6666726936</v>
      </c>
    </row>
  </sheetData>
  <mergeCells count="1">
    <mergeCell ref="A1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AA56-84BF-47CF-8CCE-8ED3F8A6546A}">
  <dimension ref="B2:AN141"/>
  <sheetViews>
    <sheetView topLeftCell="A9" workbookViewId="0">
      <selection activeCell="Z58" sqref="Z58"/>
    </sheetView>
  </sheetViews>
  <sheetFormatPr baseColWidth="10" defaultRowHeight="15" x14ac:dyDescent="0.25"/>
  <cols>
    <col min="3" max="3" width="14.5703125" bestFit="1" customWidth="1"/>
    <col min="4" max="4" width="12" bestFit="1" customWidth="1"/>
    <col min="5" max="5" width="18.85546875" bestFit="1" customWidth="1"/>
    <col min="6" max="6" width="12" bestFit="1" customWidth="1"/>
    <col min="7" max="7" width="14.5703125" bestFit="1" customWidth="1"/>
    <col min="8" max="8" width="12" bestFit="1" customWidth="1"/>
    <col min="9" max="9" width="12" customWidth="1"/>
    <col min="10" max="10" width="16.7109375" bestFit="1" customWidth="1"/>
    <col min="11" max="12" width="14.5703125" bestFit="1" customWidth="1"/>
    <col min="13" max="13" width="17.5703125" bestFit="1" customWidth="1"/>
    <col min="14" max="14" width="16.7109375" bestFit="1" customWidth="1"/>
    <col min="15" max="15" width="29" bestFit="1" customWidth="1"/>
    <col min="16" max="16" width="15.5703125" bestFit="1" customWidth="1"/>
    <col min="17" max="18" width="16.7109375" bestFit="1" customWidth="1"/>
    <col min="19" max="19" width="15.5703125" customWidth="1"/>
    <col min="20" max="20" width="16.7109375" bestFit="1" customWidth="1"/>
    <col min="21" max="22" width="15.5703125" customWidth="1"/>
    <col min="23" max="24" width="16.7109375" bestFit="1" customWidth="1"/>
    <col min="25" max="25" width="18.85546875" bestFit="1" customWidth="1"/>
    <col min="26" max="29" width="16.7109375" bestFit="1" customWidth="1"/>
    <col min="30" max="32" width="15.5703125" customWidth="1"/>
    <col min="35" max="36" width="14.5703125" bestFit="1" customWidth="1"/>
    <col min="37" max="37" width="18.85546875" bestFit="1" customWidth="1"/>
    <col min="38" max="40" width="14.5703125" bestFit="1" customWidth="1"/>
  </cols>
  <sheetData>
    <row r="2" spans="2:37" x14ac:dyDescent="0.25">
      <c r="B2" s="13" t="s">
        <v>48</v>
      </c>
      <c r="C2" s="13"/>
      <c r="D2" s="13"/>
      <c r="E2" s="13"/>
    </row>
    <row r="3" spans="2:37" x14ac:dyDescent="0.25">
      <c r="B3" s="13"/>
      <c r="C3" s="13"/>
      <c r="D3" s="13"/>
      <c r="E3" s="13"/>
    </row>
    <row r="4" spans="2:37" x14ac:dyDescent="0.25">
      <c r="B4" s="13"/>
      <c r="C4" s="13"/>
      <c r="D4" s="13"/>
      <c r="E4" s="13"/>
    </row>
    <row r="5" spans="2:37" x14ac:dyDescent="0.25">
      <c r="B5" s="13"/>
      <c r="C5" s="13"/>
      <c r="D5" s="13"/>
      <c r="E5" s="13"/>
    </row>
    <row r="6" spans="2:37" x14ac:dyDescent="0.25">
      <c r="B6" s="13"/>
      <c r="C6" s="13"/>
      <c r="D6" s="13"/>
      <c r="E6" s="13"/>
    </row>
    <row r="7" spans="2:37" x14ac:dyDescent="0.25">
      <c r="B7" s="13"/>
      <c r="C7" s="13"/>
      <c r="D7" s="13"/>
      <c r="E7" s="13"/>
      <c r="V7" t="s">
        <v>9</v>
      </c>
      <c r="W7" s="4">
        <v>1000000</v>
      </c>
      <c r="X7" t="s">
        <v>49</v>
      </c>
      <c r="Y7" s="4">
        <f>+W7*AB8</f>
        <v>418360000</v>
      </c>
      <c r="Z7" t="s">
        <v>80</v>
      </c>
    </row>
    <row r="8" spans="2:37" x14ac:dyDescent="0.25">
      <c r="B8" s="13"/>
      <c r="C8" s="13"/>
      <c r="D8" s="13"/>
      <c r="E8" s="13"/>
      <c r="V8" t="s">
        <v>1</v>
      </c>
      <c r="W8" t="s">
        <v>50</v>
      </c>
      <c r="X8" s="5">
        <v>0.1</v>
      </c>
      <c r="Y8" t="s">
        <v>4</v>
      </c>
      <c r="AA8" t="s">
        <v>31</v>
      </c>
      <c r="AB8">
        <v>418.36</v>
      </c>
    </row>
    <row r="9" spans="2:37" x14ac:dyDescent="0.25">
      <c r="V9" t="s">
        <v>51</v>
      </c>
      <c r="W9">
        <v>120</v>
      </c>
      <c r="X9" t="s">
        <v>52</v>
      </c>
      <c r="AA9" t="s">
        <v>44</v>
      </c>
      <c r="AB9" s="5">
        <v>0.04</v>
      </c>
      <c r="AC9" t="s">
        <v>4</v>
      </c>
    </row>
    <row r="10" spans="2:37" x14ac:dyDescent="0.25">
      <c r="B10" t="s">
        <v>9</v>
      </c>
      <c r="C10" s="4">
        <v>1000000</v>
      </c>
      <c r="D10" t="s">
        <v>49</v>
      </c>
      <c r="V10" t="s">
        <v>60</v>
      </c>
      <c r="W10" s="10">
        <f>+(1+X8)^(1/12)-1</f>
        <v>7.9741404289037643E-3</v>
      </c>
      <c r="X10" t="s">
        <v>6</v>
      </c>
      <c r="Y10" t="s">
        <v>81</v>
      </c>
      <c r="AB10" s="9">
        <f>+(1+AB9)^(1/12)-1</f>
        <v>3.2737397821989145E-3</v>
      </c>
      <c r="AC10" t="s">
        <v>6</v>
      </c>
    </row>
    <row r="11" spans="2:37" x14ac:dyDescent="0.25">
      <c r="B11" t="s">
        <v>1</v>
      </c>
      <c r="C11" t="s">
        <v>50</v>
      </c>
      <c r="D11" s="5">
        <v>0.1</v>
      </c>
      <c r="E11" t="s">
        <v>4</v>
      </c>
      <c r="V11" t="s">
        <v>60</v>
      </c>
      <c r="W11" s="10">
        <f>+(1+AB10)*(1+W10)-1</f>
        <v>1.1273985471853543E-2</v>
      </c>
      <c r="X11" t="s">
        <v>6</v>
      </c>
      <c r="Y11" t="s">
        <v>82</v>
      </c>
    </row>
    <row r="12" spans="2:37" x14ac:dyDescent="0.25">
      <c r="B12" t="s">
        <v>51</v>
      </c>
      <c r="C12">
        <v>120</v>
      </c>
      <c r="D12" t="s">
        <v>52</v>
      </c>
      <c r="V12" t="s">
        <v>83</v>
      </c>
      <c r="W12">
        <v>54.110589949779111</v>
      </c>
      <c r="Y12" t="s">
        <v>38</v>
      </c>
      <c r="Z12" s="4">
        <f>+W7/(W12*W13)</f>
        <v>27669.149151572125</v>
      </c>
      <c r="AA12" t="s">
        <v>49</v>
      </c>
    </row>
    <row r="13" spans="2:37" x14ac:dyDescent="0.25">
      <c r="B13" t="s">
        <v>60</v>
      </c>
      <c r="C13" s="10">
        <f>+(1+D11)^(1/12)-1</f>
        <v>7.9741404289037643E-3</v>
      </c>
      <c r="D13" t="s">
        <v>6</v>
      </c>
      <c r="V13" t="s">
        <v>84</v>
      </c>
      <c r="W13">
        <v>0.66791612221706698</v>
      </c>
      <c r="Y13" t="s">
        <v>38</v>
      </c>
      <c r="Z13" s="4">
        <f>+Y7/(W13*W12)</f>
        <v>11575665.239051715</v>
      </c>
      <c r="AA13" t="s">
        <v>80</v>
      </c>
    </row>
    <row r="14" spans="2:37" x14ac:dyDescent="0.25">
      <c r="C14" s="10"/>
      <c r="W14" s="10"/>
      <c r="Z14" s="4"/>
    </row>
    <row r="15" spans="2:37" x14ac:dyDescent="0.25">
      <c r="B15" t="s">
        <v>61</v>
      </c>
      <c r="C15">
        <v>61.052584427112031</v>
      </c>
      <c r="E15" t="s">
        <v>38</v>
      </c>
      <c r="F15" s="4">
        <f>+C10/(C15*C16)</f>
        <v>21800.878906101399</v>
      </c>
      <c r="G15" t="s">
        <v>49</v>
      </c>
      <c r="K15" t="s">
        <v>31</v>
      </c>
      <c r="L15">
        <v>418.36</v>
      </c>
      <c r="S15" t="s">
        <v>77</v>
      </c>
      <c r="T15" t="s">
        <v>78</v>
      </c>
      <c r="AC15" t="s">
        <v>77</v>
      </c>
      <c r="AI15" t="s">
        <v>38</v>
      </c>
      <c r="AJ15" s="4">
        <f>+C10/AI16</f>
        <v>12977.546329505407</v>
      </c>
      <c r="AK15" t="s">
        <v>49</v>
      </c>
    </row>
    <row r="16" spans="2:37" x14ac:dyDescent="0.25">
      <c r="B16" t="s">
        <v>42</v>
      </c>
      <c r="C16">
        <v>0.75131480090157698</v>
      </c>
      <c r="K16" t="s">
        <v>44</v>
      </c>
      <c r="L16" s="5">
        <v>0.04</v>
      </c>
      <c r="M16" t="s">
        <v>4</v>
      </c>
      <c r="S16" t="s">
        <v>74</v>
      </c>
      <c r="T16" t="s">
        <v>76</v>
      </c>
      <c r="AC16" t="s">
        <v>74</v>
      </c>
      <c r="AH16" t="s">
        <v>62</v>
      </c>
      <c r="AI16">
        <v>77.056168755601078</v>
      </c>
    </row>
    <row r="17" spans="2:40" x14ac:dyDescent="0.25">
      <c r="C17" s="10"/>
      <c r="H17" s="10"/>
      <c r="L17" s="9">
        <f>+(1+L16)^(1/12)-1</f>
        <v>3.2737397821989145E-3</v>
      </c>
      <c r="M17" t="s">
        <v>6</v>
      </c>
      <c r="Q17" t="s">
        <v>72</v>
      </c>
      <c r="S17" s="15">
        <f>+IRR(S21:S141)</f>
        <v>7.9741404289037643E-3</v>
      </c>
      <c r="T17" s="15">
        <f>+IRR(T21:T141)</f>
        <v>1.1273985471853765E-2</v>
      </c>
      <c r="AA17" t="s">
        <v>72</v>
      </c>
      <c r="AC17" s="15">
        <f>+IRR(AC21:AC141)</f>
        <v>1.1273985471853765E-2</v>
      </c>
    </row>
    <row r="18" spans="2:40" x14ac:dyDescent="0.25">
      <c r="N18" s="6">
        <f>+SUM(N22:N141)</f>
        <v>574968227.7643975</v>
      </c>
      <c r="P18" s="4"/>
      <c r="Q18" t="s">
        <v>71</v>
      </c>
      <c r="R18" s="4">
        <f>+SUM(R21:R141)</f>
        <v>418360000.00000012</v>
      </c>
      <c r="X18" s="6">
        <f>+SUM(X22:X141)</f>
        <v>553995880.08034337</v>
      </c>
      <c r="Z18" s="4"/>
      <c r="AA18" t="s">
        <v>71</v>
      </c>
      <c r="AB18" s="4">
        <f>+SUM(AB21:AB141)</f>
        <v>418360000.00000066</v>
      </c>
    </row>
    <row r="19" spans="2:40" x14ac:dyDescent="0.25">
      <c r="B19" s="14" t="s">
        <v>64</v>
      </c>
      <c r="C19" s="14"/>
      <c r="D19" s="14"/>
      <c r="E19" s="14"/>
      <c r="F19" s="14"/>
      <c r="G19" s="14"/>
      <c r="H19" s="14"/>
      <c r="I19" s="14" t="s">
        <v>65</v>
      </c>
      <c r="J19" s="14"/>
      <c r="K19" s="14"/>
      <c r="L19" s="14"/>
      <c r="M19" s="14"/>
      <c r="N19" s="14"/>
      <c r="O19" s="14"/>
      <c r="P19" s="14"/>
      <c r="Q19" s="14"/>
      <c r="R19" s="14"/>
      <c r="S19" s="12"/>
      <c r="T19" s="12"/>
      <c r="U19" s="12"/>
      <c r="V19" s="14" t="s">
        <v>79</v>
      </c>
      <c r="W19" s="14"/>
      <c r="X19" s="14"/>
      <c r="Y19" s="14"/>
      <c r="Z19" s="14"/>
      <c r="AA19" s="14"/>
      <c r="AB19" s="14"/>
      <c r="AC19" s="12"/>
      <c r="AD19" s="12"/>
      <c r="AE19" s="12"/>
      <c r="AF19" s="12"/>
      <c r="AH19" s="14" t="s">
        <v>63</v>
      </c>
      <c r="AI19" s="14"/>
      <c r="AJ19" s="14"/>
      <c r="AK19" s="14"/>
      <c r="AL19" s="14"/>
      <c r="AM19" s="14"/>
      <c r="AN19" s="14"/>
    </row>
    <row r="20" spans="2:40" x14ac:dyDescent="0.25">
      <c r="B20" t="s">
        <v>53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49</v>
      </c>
      <c r="J20" t="s">
        <v>54</v>
      </c>
      <c r="K20" t="s">
        <v>66</v>
      </c>
      <c r="L20" t="s">
        <v>44</v>
      </c>
      <c r="M20" t="s">
        <v>67</v>
      </c>
      <c r="N20" t="s">
        <v>68</v>
      </c>
      <c r="O20" t="s">
        <v>69</v>
      </c>
      <c r="P20" t="s">
        <v>70</v>
      </c>
      <c r="Q20" t="s">
        <v>58</v>
      </c>
      <c r="R20" t="s">
        <v>59</v>
      </c>
      <c r="S20" t="s">
        <v>73</v>
      </c>
      <c r="T20" t="s">
        <v>75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58</v>
      </c>
      <c r="AB20" t="s">
        <v>59</v>
      </c>
      <c r="AC20" t="s">
        <v>73</v>
      </c>
      <c r="AH20" t="s">
        <v>53</v>
      </c>
      <c r="AI20" t="s">
        <v>54</v>
      </c>
      <c r="AJ20" t="s">
        <v>55</v>
      </c>
      <c r="AK20" t="s">
        <v>56</v>
      </c>
      <c r="AL20" t="s">
        <v>57</v>
      </c>
      <c r="AM20" t="s">
        <v>58</v>
      </c>
      <c r="AN20" t="s">
        <v>59</v>
      </c>
    </row>
    <row r="21" spans="2:40" x14ac:dyDescent="0.25">
      <c r="B21">
        <v>0</v>
      </c>
      <c r="G21" s="6">
        <f>+C10</f>
        <v>1000000</v>
      </c>
      <c r="I21" s="4">
        <f>+L15</f>
        <v>418.36</v>
      </c>
      <c r="Q21" s="6">
        <f>+I21*C10</f>
        <v>418360000</v>
      </c>
      <c r="S21" s="6">
        <f>+G21</f>
        <v>1000000</v>
      </c>
      <c r="T21" s="6">
        <f>+Q21</f>
        <v>418360000</v>
      </c>
      <c r="V21">
        <v>0</v>
      </c>
      <c r="AA21" s="6">
        <f>+Y7</f>
        <v>418360000</v>
      </c>
      <c r="AC21" s="6">
        <f>+Q21</f>
        <v>418360000</v>
      </c>
      <c r="AH21">
        <v>0</v>
      </c>
      <c r="AM21" s="6">
        <f>+C10</f>
        <v>1000000</v>
      </c>
    </row>
    <row r="22" spans="2:40" x14ac:dyDescent="0.25">
      <c r="B22">
        <v>1</v>
      </c>
      <c r="C22" s="6">
        <f>+G21</f>
        <v>1000000</v>
      </c>
      <c r="D22" s="4">
        <f>+C22*$C$13</f>
        <v>7974.1404289037646</v>
      </c>
      <c r="E22" s="6">
        <f>+C22+D22</f>
        <v>1007974.1404289037</v>
      </c>
      <c r="F22" s="4">
        <v>0</v>
      </c>
      <c r="G22" s="6">
        <f>+E22-F22</f>
        <v>1007974.1404289037</v>
      </c>
      <c r="H22" s="6">
        <f>+F22-D22</f>
        <v>-7974.1404289037646</v>
      </c>
      <c r="I22" s="6">
        <f>+I21*(1+$L$17)</f>
        <v>419.72960177528074</v>
      </c>
      <c r="J22" s="6">
        <f>+Q21</f>
        <v>418360000</v>
      </c>
      <c r="K22" s="6">
        <f>+J22*$C$13</f>
        <v>3336061.3898361786</v>
      </c>
      <c r="L22" s="6">
        <f>+J22*$L$17</f>
        <v>1369601.7752807378</v>
      </c>
      <c r="M22" s="6">
        <f>+$L$17*K22</f>
        <v>10921.3968877645</v>
      </c>
      <c r="N22" s="6">
        <f>+M22+K22+L22</f>
        <v>4716584.5620046807</v>
      </c>
      <c r="O22" s="6">
        <f>+J22+N22</f>
        <v>423076584.56200469</v>
      </c>
      <c r="P22" s="6">
        <f>+F22*I22</f>
        <v>0</v>
      </c>
      <c r="Q22" s="6">
        <f>+O22-P22</f>
        <v>423076584.56200469</v>
      </c>
      <c r="R22" s="6">
        <f>+P22-N22</f>
        <v>-4716584.5620046807</v>
      </c>
      <c r="S22" s="6">
        <f>-F22</f>
        <v>0</v>
      </c>
      <c r="T22" s="6">
        <f>-P22</f>
        <v>0</v>
      </c>
      <c r="U22" s="6"/>
      <c r="V22">
        <v>1</v>
      </c>
      <c r="W22" s="6">
        <f>+AA21</f>
        <v>418360000</v>
      </c>
      <c r="X22" s="6">
        <f>+W22*$W$11</f>
        <v>4716584.5620046481</v>
      </c>
      <c r="Y22" s="6">
        <f>+W22+X22</f>
        <v>423076584.56200463</v>
      </c>
      <c r="Z22" s="6">
        <v>0</v>
      </c>
      <c r="AA22" s="6">
        <f>+Y22-Z22</f>
        <v>423076584.56200463</v>
      </c>
      <c r="AB22" s="6">
        <f>+Z22-X22</f>
        <v>-4716584.5620046481</v>
      </c>
      <c r="AC22" s="6">
        <f>-P22</f>
        <v>0</v>
      </c>
      <c r="AD22" s="6"/>
      <c r="AE22" s="6"/>
      <c r="AF22" s="6"/>
      <c r="AH22">
        <v>1</v>
      </c>
      <c r="AI22" s="6">
        <f>+AM21</f>
        <v>1000000</v>
      </c>
      <c r="AJ22" s="4">
        <f>+AI22*$C$13</f>
        <v>7974.1404289037646</v>
      </c>
      <c r="AK22" s="6">
        <f>+AI22+AJ22</f>
        <v>1007974.1404289037</v>
      </c>
      <c r="AL22" s="4">
        <f>+$AJ$15</f>
        <v>12977.546329505407</v>
      </c>
      <c r="AM22" s="6">
        <f>+AK22-AL22</f>
        <v>994996.59409939835</v>
      </c>
      <c r="AN22" s="6">
        <f>+AL22-AJ22</f>
        <v>5003.4059006016423</v>
      </c>
    </row>
    <row r="23" spans="2:40" x14ac:dyDescent="0.25">
      <c r="B23">
        <v>2</v>
      </c>
      <c r="C23" s="6">
        <f t="shared" ref="C23:C57" si="0">+G22</f>
        <v>1007974.1404289037</v>
      </c>
      <c r="D23" s="4">
        <f t="shared" ref="D23:D86" si="1">+C23*$C$13</f>
        <v>8037.7273444836419</v>
      </c>
      <c r="E23" s="6">
        <f t="shared" ref="E23:E57" si="2">+C23+D23</f>
        <v>1016011.8677733873</v>
      </c>
      <c r="F23" s="4">
        <v>0</v>
      </c>
      <c r="G23" s="6">
        <f t="shared" ref="G23:G57" si="3">+E23-F23</f>
        <v>1016011.8677733873</v>
      </c>
      <c r="H23" s="6">
        <f t="shared" ref="H23:H57" si="4">+F23-D23</f>
        <v>-8037.7273444836419</v>
      </c>
      <c r="I23" s="6">
        <f t="shared" ref="I23:I86" si="5">+I22*(1+$L$17)</f>
        <v>421.103687270379</v>
      </c>
      <c r="J23" s="6">
        <f t="shared" ref="J23:J86" si="6">+Q22</f>
        <v>423076584.56200469</v>
      </c>
      <c r="K23" s="6">
        <f t="shared" ref="K23:K86" si="7">+J23*$C$13</f>
        <v>3373672.0974784037</v>
      </c>
      <c r="L23" s="6">
        <f t="shared" ref="L23:L86" si="8">+J23*$L$17</f>
        <v>1385042.6457974778</v>
      </c>
      <c r="M23" s="6">
        <f t="shared" ref="M23:M86" si="9">+$L$17*K23</f>
        <v>11044.524557609504</v>
      </c>
      <c r="N23" s="6">
        <f t="shared" ref="N23:N86" si="10">+M23+K23+L23</f>
        <v>4769759.2678334909</v>
      </c>
      <c r="O23" s="6">
        <f t="shared" ref="O23:O86" si="11">+J23+N23</f>
        <v>427846343.82983816</v>
      </c>
      <c r="P23" s="6">
        <f t="shared" ref="P23:P86" si="12">+F23*I23</f>
        <v>0</v>
      </c>
      <c r="Q23" s="6">
        <f t="shared" ref="Q23:Q86" si="13">+O23-P23</f>
        <v>427846343.82983816</v>
      </c>
      <c r="R23" s="6">
        <f t="shared" ref="R23:R86" si="14">+P23-N23</f>
        <v>-4769759.2678334909</v>
      </c>
      <c r="S23" s="6">
        <f t="shared" ref="S23:S86" si="15">-F23</f>
        <v>0</v>
      </c>
      <c r="T23" s="6">
        <f t="shared" ref="T23:T86" si="16">-P23</f>
        <v>0</v>
      </c>
      <c r="U23" s="6"/>
      <c r="V23">
        <v>2</v>
      </c>
      <c r="W23" s="6">
        <f>+AA22</f>
        <v>423076584.56200463</v>
      </c>
      <c r="X23" s="6">
        <f>+W23*$W$11</f>
        <v>4769759.2678334573</v>
      </c>
      <c r="Y23" s="6">
        <f>+W23+X23</f>
        <v>427846343.8298381</v>
      </c>
      <c r="Z23" s="6">
        <v>0</v>
      </c>
      <c r="AA23" s="6">
        <f>+Y23-Z23</f>
        <v>427846343.8298381</v>
      </c>
      <c r="AB23" s="6">
        <f>+Z23-X23</f>
        <v>-4769759.2678334573</v>
      </c>
      <c r="AC23" s="6">
        <f t="shared" ref="AC23:AC86" si="17">-P23</f>
        <v>0</v>
      </c>
      <c r="AD23" s="6"/>
      <c r="AE23" s="6"/>
      <c r="AF23" s="6"/>
      <c r="AH23">
        <v>2</v>
      </c>
      <c r="AI23" s="6">
        <f t="shared" ref="AI23:AI86" si="18">+AM22</f>
        <v>994996.59409939835</v>
      </c>
      <c r="AJ23" s="4">
        <f t="shared" ref="AJ23:AJ86" si="19">+AI23*$C$13</f>
        <v>7934.2425676295607</v>
      </c>
      <c r="AK23" s="6">
        <f t="shared" ref="AK23:AK86" si="20">+AI23+AJ23</f>
        <v>1002930.8366670279</v>
      </c>
      <c r="AL23" s="4">
        <f t="shared" ref="AL23:AL86" si="21">+$AJ$15</f>
        <v>12977.546329505407</v>
      </c>
      <c r="AM23" s="6">
        <f t="shared" ref="AM23:AM86" si="22">+AK23-AL23</f>
        <v>989953.29033752251</v>
      </c>
      <c r="AN23" s="6">
        <f t="shared" ref="AN23:AN86" si="23">+AL23-AJ23</f>
        <v>5043.3037618758462</v>
      </c>
    </row>
    <row r="24" spans="2:40" x14ac:dyDescent="0.25">
      <c r="B24">
        <v>3</v>
      </c>
      <c r="C24" s="6">
        <f t="shared" si="0"/>
        <v>1016011.8677733873</v>
      </c>
      <c r="D24" s="4">
        <f t="shared" si="1"/>
        <v>8101.8213110577935</v>
      </c>
      <c r="E24" s="6">
        <f t="shared" si="2"/>
        <v>1024113.6890844451</v>
      </c>
      <c r="F24" s="4">
        <v>0</v>
      </c>
      <c r="G24" s="6">
        <f t="shared" si="3"/>
        <v>1024113.6890844451</v>
      </c>
      <c r="H24" s="6">
        <f t="shared" si="4"/>
        <v>-8101.8213110577935</v>
      </c>
      <c r="I24" s="6">
        <f t="shared" si="5"/>
        <v>422.48227116382668</v>
      </c>
      <c r="J24" s="6">
        <f t="shared" si="6"/>
        <v>427846343.82983816</v>
      </c>
      <c r="K24" s="6">
        <f t="shared" si="7"/>
        <v>3411706.827692173</v>
      </c>
      <c r="L24" s="6">
        <f t="shared" si="8"/>
        <v>1400657.5964640963</v>
      </c>
      <c r="M24" s="6">
        <f t="shared" si="9"/>
        <v>11169.040367015523</v>
      </c>
      <c r="N24" s="6">
        <f t="shared" si="10"/>
        <v>4823533.4645232847</v>
      </c>
      <c r="O24" s="6">
        <f t="shared" si="11"/>
        <v>432669877.29436141</v>
      </c>
      <c r="P24" s="6">
        <f t="shared" si="12"/>
        <v>0</v>
      </c>
      <c r="Q24" s="6">
        <f t="shared" si="13"/>
        <v>432669877.29436141</v>
      </c>
      <c r="R24" s="6">
        <f t="shared" si="14"/>
        <v>-4823533.4645232847</v>
      </c>
      <c r="S24" s="6">
        <f t="shared" si="15"/>
        <v>0</v>
      </c>
      <c r="T24" s="6">
        <f t="shared" si="16"/>
        <v>0</v>
      </c>
      <c r="U24" s="6"/>
      <c r="V24">
        <v>3</v>
      </c>
      <c r="W24" s="6">
        <f t="shared" ref="W24:W87" si="24">+AA23</f>
        <v>427846343.8298381</v>
      </c>
      <c r="X24" s="6">
        <f t="shared" ref="X24:X87" si="25">+W24*$W$11</f>
        <v>4823533.4645232502</v>
      </c>
      <c r="Y24" s="6">
        <f t="shared" ref="Y24:Y87" si="26">+W24+X24</f>
        <v>432669877.29436135</v>
      </c>
      <c r="Z24" s="6">
        <v>0</v>
      </c>
      <c r="AA24" s="6">
        <f t="shared" ref="AA24:AA87" si="27">+Y24-Z24</f>
        <v>432669877.29436135</v>
      </c>
      <c r="AB24" s="6">
        <f t="shared" ref="AB24:AB87" si="28">+Z24-X24</f>
        <v>-4823533.4645232502</v>
      </c>
      <c r="AC24" s="6">
        <f t="shared" si="17"/>
        <v>0</v>
      </c>
      <c r="AD24" s="6"/>
      <c r="AE24" s="6"/>
      <c r="AF24" s="6"/>
      <c r="AH24">
        <v>3</v>
      </c>
      <c r="AI24" s="6">
        <f t="shared" si="18"/>
        <v>989953.29033752251</v>
      </c>
      <c r="AJ24" s="4">
        <f t="shared" si="19"/>
        <v>7894.0265552067449</v>
      </c>
      <c r="AK24" s="6">
        <f t="shared" si="20"/>
        <v>997847.31689272926</v>
      </c>
      <c r="AL24" s="4">
        <f t="shared" si="21"/>
        <v>12977.546329505407</v>
      </c>
      <c r="AM24" s="6">
        <f t="shared" si="22"/>
        <v>984869.77056322386</v>
      </c>
      <c r="AN24" s="6">
        <f t="shared" si="23"/>
        <v>5083.519774298662</v>
      </c>
    </row>
    <row r="25" spans="2:40" x14ac:dyDescent="0.25">
      <c r="B25">
        <v>4</v>
      </c>
      <c r="C25" s="6">
        <f t="shared" si="0"/>
        <v>1024113.6890844451</v>
      </c>
      <c r="D25" s="4">
        <f t="shared" si="1"/>
        <v>8166.4263719220535</v>
      </c>
      <c r="E25" s="6">
        <f t="shared" si="2"/>
        <v>1032280.1154563671</v>
      </c>
      <c r="F25" s="4">
        <v>0</v>
      </c>
      <c r="G25" s="6">
        <f t="shared" si="3"/>
        <v>1032280.1154563671</v>
      </c>
      <c r="H25" s="6">
        <f t="shared" si="4"/>
        <v>-8166.4263719220535</v>
      </c>
      <c r="I25" s="6">
        <f t="shared" si="5"/>
        <v>423.86536818220947</v>
      </c>
      <c r="J25" s="6">
        <f t="shared" si="6"/>
        <v>432669877.29436141</v>
      </c>
      <c r="K25" s="6">
        <f t="shared" si="7"/>
        <v>3450170.3609017981</v>
      </c>
      <c r="L25" s="6">
        <f t="shared" si="8"/>
        <v>1416448.5898576737</v>
      </c>
      <c r="M25" s="6">
        <f t="shared" si="9"/>
        <v>11294.959965847802</v>
      </c>
      <c r="N25" s="6">
        <f t="shared" si="10"/>
        <v>4877913.9107253198</v>
      </c>
      <c r="O25" s="6">
        <f t="shared" si="11"/>
        <v>437547791.20508671</v>
      </c>
      <c r="P25" s="6">
        <f t="shared" si="12"/>
        <v>0</v>
      </c>
      <c r="Q25" s="6">
        <f t="shared" si="13"/>
        <v>437547791.20508671</v>
      </c>
      <c r="R25" s="6">
        <f t="shared" si="14"/>
        <v>-4877913.9107253198</v>
      </c>
      <c r="S25" s="6">
        <f t="shared" si="15"/>
        <v>0</v>
      </c>
      <c r="T25" s="6">
        <f t="shared" si="16"/>
        <v>0</v>
      </c>
      <c r="U25" s="6"/>
      <c r="V25">
        <v>4</v>
      </c>
      <c r="W25" s="6">
        <f t="shared" si="24"/>
        <v>432669877.29436135</v>
      </c>
      <c r="X25" s="6">
        <f t="shared" si="25"/>
        <v>4877913.9107252853</v>
      </c>
      <c r="Y25" s="6">
        <f t="shared" si="26"/>
        <v>437547791.20508665</v>
      </c>
      <c r="Z25" s="6">
        <v>0</v>
      </c>
      <c r="AA25" s="6">
        <f t="shared" si="27"/>
        <v>437547791.20508665</v>
      </c>
      <c r="AB25" s="6">
        <f t="shared" si="28"/>
        <v>-4877913.9107252853</v>
      </c>
      <c r="AC25" s="6">
        <f t="shared" si="17"/>
        <v>0</v>
      </c>
      <c r="AD25" s="6"/>
      <c r="AE25" s="6"/>
      <c r="AF25" s="6"/>
      <c r="AH25">
        <v>4</v>
      </c>
      <c r="AI25" s="6">
        <f t="shared" si="18"/>
        <v>984869.77056322386</v>
      </c>
      <c r="AJ25" s="4">
        <f t="shared" si="19"/>
        <v>7853.4898546533777</v>
      </c>
      <c r="AK25" s="6">
        <f t="shared" si="20"/>
        <v>992723.26041787723</v>
      </c>
      <c r="AL25" s="4">
        <f t="shared" si="21"/>
        <v>12977.546329505407</v>
      </c>
      <c r="AM25" s="6">
        <f t="shared" si="22"/>
        <v>979745.71408837184</v>
      </c>
      <c r="AN25" s="6">
        <f t="shared" si="23"/>
        <v>5124.0564748520292</v>
      </c>
    </row>
    <row r="26" spans="2:40" x14ac:dyDescent="0.25">
      <c r="B26">
        <v>5</v>
      </c>
      <c r="C26" s="6">
        <f t="shared" si="0"/>
        <v>1032280.1154563671</v>
      </c>
      <c r="D26" s="4">
        <f t="shared" si="1"/>
        <v>8231.5466026140621</v>
      </c>
      <c r="E26" s="6">
        <f t="shared" si="2"/>
        <v>1040511.6620589813</v>
      </c>
      <c r="F26" s="4">
        <v>0</v>
      </c>
      <c r="G26" s="6">
        <f t="shared" si="3"/>
        <v>1040511.6620589813</v>
      </c>
      <c r="H26" s="6">
        <f t="shared" si="4"/>
        <v>-8231.5466026140621</v>
      </c>
      <c r="I26" s="6">
        <f t="shared" si="5"/>
        <v>425.25299310032398</v>
      </c>
      <c r="J26" s="6">
        <f t="shared" si="6"/>
        <v>437547791.20508671</v>
      </c>
      <c r="K26" s="6">
        <f t="shared" si="7"/>
        <v>3489067.5314260246</v>
      </c>
      <c r="L26" s="6">
        <f t="shared" si="8"/>
        <v>1432417.6106813566</v>
      </c>
      <c r="M26" s="6">
        <f t="shared" si="9"/>
        <v>11422.299180407937</v>
      </c>
      <c r="N26" s="6">
        <f t="shared" si="10"/>
        <v>4932907.4412877895</v>
      </c>
      <c r="O26" s="6">
        <f t="shared" si="11"/>
        <v>442480698.64637452</v>
      </c>
      <c r="P26" s="6">
        <f t="shared" si="12"/>
        <v>0</v>
      </c>
      <c r="Q26" s="6">
        <f t="shared" si="13"/>
        <v>442480698.64637452</v>
      </c>
      <c r="R26" s="6">
        <f t="shared" si="14"/>
        <v>-4932907.4412877895</v>
      </c>
      <c r="S26" s="6">
        <f t="shared" si="15"/>
        <v>0</v>
      </c>
      <c r="T26" s="6">
        <f t="shared" si="16"/>
        <v>0</v>
      </c>
      <c r="U26" s="6"/>
      <c r="V26">
        <v>5</v>
      </c>
      <c r="W26" s="6">
        <f t="shared" si="24"/>
        <v>437547791.20508665</v>
      </c>
      <c r="X26" s="6">
        <f t="shared" si="25"/>
        <v>4932907.4412877541</v>
      </c>
      <c r="Y26" s="6">
        <f t="shared" si="26"/>
        <v>442480698.6463744</v>
      </c>
      <c r="Z26" s="6">
        <v>0</v>
      </c>
      <c r="AA26" s="6">
        <f t="shared" si="27"/>
        <v>442480698.6463744</v>
      </c>
      <c r="AB26" s="6">
        <f t="shared" si="28"/>
        <v>-4932907.4412877541</v>
      </c>
      <c r="AC26" s="6">
        <f t="shared" si="17"/>
        <v>0</v>
      </c>
      <c r="AD26" s="6"/>
      <c r="AE26" s="6"/>
      <c r="AF26" s="6"/>
      <c r="AH26">
        <v>5</v>
      </c>
      <c r="AI26" s="6">
        <f t="shared" si="18"/>
        <v>979745.71408837184</v>
      </c>
      <c r="AJ26" s="4">
        <f t="shared" si="19"/>
        <v>7812.6299087572743</v>
      </c>
      <c r="AK26" s="6">
        <f t="shared" si="20"/>
        <v>987558.34399712912</v>
      </c>
      <c r="AL26" s="4">
        <f t="shared" si="21"/>
        <v>12977.546329505407</v>
      </c>
      <c r="AM26" s="6">
        <f t="shared" si="22"/>
        <v>974580.79766762373</v>
      </c>
      <c r="AN26" s="6">
        <f t="shared" si="23"/>
        <v>5164.9164207481326</v>
      </c>
    </row>
    <row r="27" spans="2:40" x14ac:dyDescent="0.25">
      <c r="B27">
        <v>6</v>
      </c>
      <c r="C27" s="6">
        <f t="shared" si="0"/>
        <v>1040511.6620589813</v>
      </c>
      <c r="D27" s="4">
        <f t="shared" si="1"/>
        <v>8297.1861111703729</v>
      </c>
      <c r="E27" s="6">
        <f t="shared" si="2"/>
        <v>1048808.8481701517</v>
      </c>
      <c r="F27" s="4">
        <v>0</v>
      </c>
      <c r="G27" s="6">
        <f t="shared" si="3"/>
        <v>1048808.8481701517</v>
      </c>
      <c r="H27" s="6">
        <f t="shared" si="4"/>
        <v>-8297.1861111703729</v>
      </c>
      <c r="I27" s="6">
        <f t="shared" si="5"/>
        <v>426.64516074133564</v>
      </c>
      <c r="J27" s="6">
        <f t="shared" si="6"/>
        <v>442480698.64637452</v>
      </c>
      <c r="K27" s="6">
        <f t="shared" si="7"/>
        <v>3528403.228085638</v>
      </c>
      <c r="L27" s="6">
        <f t="shared" si="8"/>
        <v>1448566.6660138057</v>
      </c>
      <c r="M27" s="6">
        <f t="shared" si="9"/>
        <v>11551.074015423023</v>
      </c>
      <c r="N27" s="6">
        <f t="shared" si="10"/>
        <v>4988520.9681148669</v>
      </c>
      <c r="O27" s="6">
        <f t="shared" si="11"/>
        <v>447469219.61448938</v>
      </c>
      <c r="P27" s="6">
        <f t="shared" si="12"/>
        <v>0</v>
      </c>
      <c r="Q27" s="6">
        <f t="shared" si="13"/>
        <v>447469219.61448938</v>
      </c>
      <c r="R27" s="6">
        <f t="shared" si="14"/>
        <v>-4988520.9681148669</v>
      </c>
      <c r="S27" s="6">
        <f t="shared" si="15"/>
        <v>0</v>
      </c>
      <c r="T27" s="6">
        <f t="shared" si="16"/>
        <v>0</v>
      </c>
      <c r="U27" s="6"/>
      <c r="V27">
        <v>6</v>
      </c>
      <c r="W27" s="6">
        <f t="shared" si="24"/>
        <v>442480698.6463744</v>
      </c>
      <c r="X27" s="6">
        <f t="shared" si="25"/>
        <v>4988520.9681148306</v>
      </c>
      <c r="Y27" s="6">
        <f t="shared" si="26"/>
        <v>447469219.61448926</v>
      </c>
      <c r="Z27" s="6">
        <v>0</v>
      </c>
      <c r="AA27" s="6">
        <f t="shared" si="27"/>
        <v>447469219.61448926</v>
      </c>
      <c r="AB27" s="6">
        <f t="shared" si="28"/>
        <v>-4988520.9681148306</v>
      </c>
      <c r="AC27" s="6">
        <f t="shared" si="17"/>
        <v>0</v>
      </c>
      <c r="AD27" s="6"/>
      <c r="AE27" s="6"/>
      <c r="AF27" s="6"/>
      <c r="AH27">
        <v>6</v>
      </c>
      <c r="AI27" s="6">
        <f t="shared" si="18"/>
        <v>974580.79766762373</v>
      </c>
      <c r="AJ27" s="4">
        <f t="shared" si="19"/>
        <v>7771.4441399146781</v>
      </c>
      <c r="AK27" s="6">
        <f t="shared" si="20"/>
        <v>982352.24180753843</v>
      </c>
      <c r="AL27" s="4">
        <f t="shared" si="21"/>
        <v>12977.546329505407</v>
      </c>
      <c r="AM27" s="6">
        <f t="shared" si="22"/>
        <v>969374.69547803304</v>
      </c>
      <c r="AN27" s="6">
        <f t="shared" si="23"/>
        <v>5206.1021895907288</v>
      </c>
    </row>
    <row r="28" spans="2:40" x14ac:dyDescent="0.25">
      <c r="B28">
        <v>7</v>
      </c>
      <c r="C28" s="6">
        <f t="shared" si="0"/>
        <v>1048808.8481701517</v>
      </c>
      <c r="D28" s="4">
        <f t="shared" si="1"/>
        <v>8363.3490383855969</v>
      </c>
      <c r="E28" s="6">
        <f t="shared" si="2"/>
        <v>1057172.1972085373</v>
      </c>
      <c r="F28" s="4">
        <v>0</v>
      </c>
      <c r="G28" s="6">
        <f t="shared" si="3"/>
        <v>1057172.1972085373</v>
      </c>
      <c r="H28" s="6">
        <f t="shared" si="4"/>
        <v>-8363.3490383855969</v>
      </c>
      <c r="I28" s="6">
        <f t="shared" si="5"/>
        <v>428.04188597693718</v>
      </c>
      <c r="J28" s="6">
        <f t="shared" si="6"/>
        <v>447469219.61448938</v>
      </c>
      <c r="K28" s="6">
        <f t="shared" si="7"/>
        <v>3568182.3948179171</v>
      </c>
      <c r="L28" s="6">
        <f t="shared" si="8"/>
        <v>1464897.7855614566</v>
      </c>
      <c r="M28" s="6">
        <f t="shared" si="9"/>
        <v>11681.300656057208</v>
      </c>
      <c r="N28" s="6">
        <f t="shared" si="10"/>
        <v>5044761.4810354309</v>
      </c>
      <c r="O28" s="6">
        <f t="shared" si="11"/>
        <v>452513981.09552479</v>
      </c>
      <c r="P28" s="6">
        <f t="shared" si="12"/>
        <v>0</v>
      </c>
      <c r="Q28" s="6">
        <f t="shared" si="13"/>
        <v>452513981.09552479</v>
      </c>
      <c r="R28" s="6">
        <f t="shared" si="14"/>
        <v>-5044761.4810354309</v>
      </c>
      <c r="S28" s="6">
        <f t="shared" si="15"/>
        <v>0</v>
      </c>
      <c r="T28" s="6">
        <f t="shared" si="16"/>
        <v>0</v>
      </c>
      <c r="U28" s="6"/>
      <c r="V28">
        <v>7</v>
      </c>
      <c r="W28" s="6">
        <f t="shared" si="24"/>
        <v>447469219.61448926</v>
      </c>
      <c r="X28" s="6">
        <f t="shared" si="25"/>
        <v>5044761.4810353946</v>
      </c>
      <c r="Y28" s="6">
        <f t="shared" si="26"/>
        <v>452513981.09552467</v>
      </c>
      <c r="Z28" s="6">
        <v>0</v>
      </c>
      <c r="AA28" s="6">
        <f t="shared" si="27"/>
        <v>452513981.09552467</v>
      </c>
      <c r="AB28" s="6">
        <f t="shared" si="28"/>
        <v>-5044761.4810353946</v>
      </c>
      <c r="AC28" s="6">
        <f t="shared" si="17"/>
        <v>0</v>
      </c>
      <c r="AD28" s="6"/>
      <c r="AE28" s="6"/>
      <c r="AF28" s="6"/>
      <c r="AH28">
        <v>7</v>
      </c>
      <c r="AI28" s="6">
        <f t="shared" si="18"/>
        <v>969374.69547803304</v>
      </c>
      <c r="AJ28" s="4">
        <f t="shared" si="19"/>
        <v>7729.9299499676581</v>
      </c>
      <c r="AK28" s="6">
        <f t="shared" si="20"/>
        <v>977104.6254280007</v>
      </c>
      <c r="AL28" s="4">
        <f t="shared" si="21"/>
        <v>12977.546329505407</v>
      </c>
      <c r="AM28" s="6">
        <f t="shared" si="22"/>
        <v>964127.07909849531</v>
      </c>
      <c r="AN28" s="6">
        <f t="shared" si="23"/>
        <v>5247.6163795377488</v>
      </c>
    </row>
    <row r="29" spans="2:40" x14ac:dyDescent="0.25">
      <c r="B29">
        <v>8</v>
      </c>
      <c r="C29" s="6">
        <f t="shared" si="0"/>
        <v>1057172.1972085373</v>
      </c>
      <c r="D29" s="4">
        <f t="shared" si="1"/>
        <v>8430.0395580736204</v>
      </c>
      <c r="E29" s="6">
        <f t="shared" si="2"/>
        <v>1065602.2367666108</v>
      </c>
      <c r="F29" s="4">
        <v>0</v>
      </c>
      <c r="G29" s="6">
        <f t="shared" si="3"/>
        <v>1065602.2367666108</v>
      </c>
      <c r="H29" s="6">
        <f t="shared" si="4"/>
        <v>-8430.0395580736204</v>
      </c>
      <c r="I29" s="6">
        <f t="shared" si="5"/>
        <v>429.44318372750735</v>
      </c>
      <c r="J29" s="6">
        <f t="shared" si="6"/>
        <v>452513981.09552479</v>
      </c>
      <c r="K29" s="6">
        <f t="shared" si="7"/>
        <v>3608410.0312980181</v>
      </c>
      <c r="L29" s="6">
        <f t="shared" si="8"/>
        <v>1481413.0219136269</v>
      </c>
      <c r="M29" s="6">
        <f t="shared" si="9"/>
        <v>11812.995469945952</v>
      </c>
      <c r="N29" s="6">
        <f t="shared" si="10"/>
        <v>5101636.0486815907</v>
      </c>
      <c r="O29" s="6">
        <f t="shared" si="11"/>
        <v>457615617.1442064</v>
      </c>
      <c r="P29" s="6">
        <f t="shared" si="12"/>
        <v>0</v>
      </c>
      <c r="Q29" s="6">
        <f t="shared" si="13"/>
        <v>457615617.1442064</v>
      </c>
      <c r="R29" s="6">
        <f t="shared" si="14"/>
        <v>-5101636.0486815907</v>
      </c>
      <c r="S29" s="6">
        <f t="shared" si="15"/>
        <v>0</v>
      </c>
      <c r="T29" s="6">
        <f t="shared" si="16"/>
        <v>0</v>
      </c>
      <c r="U29" s="6"/>
      <c r="V29">
        <v>8</v>
      </c>
      <c r="W29" s="6">
        <f t="shared" si="24"/>
        <v>452513981.09552467</v>
      </c>
      <c r="X29" s="6">
        <f t="shared" si="25"/>
        <v>5101636.0486815535</v>
      </c>
      <c r="Y29" s="6">
        <f t="shared" si="26"/>
        <v>457615617.14420623</v>
      </c>
      <c r="Z29" s="6">
        <v>0</v>
      </c>
      <c r="AA29" s="6">
        <f t="shared" si="27"/>
        <v>457615617.14420623</v>
      </c>
      <c r="AB29" s="6">
        <f t="shared" si="28"/>
        <v>-5101636.0486815535</v>
      </c>
      <c r="AC29" s="6">
        <f t="shared" si="17"/>
        <v>0</v>
      </c>
      <c r="AD29" s="6"/>
      <c r="AE29" s="6"/>
      <c r="AF29" s="6"/>
      <c r="AH29">
        <v>8</v>
      </c>
      <c r="AI29" s="6">
        <f t="shared" si="18"/>
        <v>964127.07909849531</v>
      </c>
      <c r="AJ29" s="4">
        <f t="shared" si="19"/>
        <v>7688.0847200402086</v>
      </c>
      <c r="AK29" s="6">
        <f t="shared" si="20"/>
        <v>971815.16381853551</v>
      </c>
      <c r="AL29" s="4">
        <f t="shared" si="21"/>
        <v>12977.546329505407</v>
      </c>
      <c r="AM29" s="6">
        <f t="shared" si="22"/>
        <v>958837.61748903012</v>
      </c>
      <c r="AN29" s="6">
        <f t="shared" si="23"/>
        <v>5289.4616094651983</v>
      </c>
    </row>
    <row r="30" spans="2:40" x14ac:dyDescent="0.25">
      <c r="B30">
        <v>9</v>
      </c>
      <c r="C30" s="6">
        <f t="shared" si="0"/>
        <v>1065602.2367666108</v>
      </c>
      <c r="D30" s="4">
        <f t="shared" si="1"/>
        <v>8497.2618773309114</v>
      </c>
      <c r="E30" s="6">
        <f t="shared" si="2"/>
        <v>1074099.4986439417</v>
      </c>
      <c r="F30" s="4">
        <v>0</v>
      </c>
      <c r="G30" s="6">
        <f t="shared" si="3"/>
        <v>1074099.4986439417</v>
      </c>
      <c r="H30" s="6">
        <f t="shared" si="4"/>
        <v>-8497.2618773309114</v>
      </c>
      <c r="I30" s="6">
        <f t="shared" si="5"/>
        <v>430.84906896227022</v>
      </c>
      <c r="J30" s="6">
        <f t="shared" si="6"/>
        <v>457615617.1442064</v>
      </c>
      <c r="K30" s="6">
        <f t="shared" si="7"/>
        <v>3649091.1935673631</v>
      </c>
      <c r="L30" s="6">
        <f t="shared" si="8"/>
        <v>1498114.4508004962</v>
      </c>
      <c r="M30" s="6">
        <f t="shared" si="9"/>
        <v>11946.175009253197</v>
      </c>
      <c r="N30" s="6">
        <f t="shared" si="10"/>
        <v>5159151.8193771122</v>
      </c>
      <c r="O30" s="6">
        <f t="shared" si="11"/>
        <v>462774768.96358353</v>
      </c>
      <c r="P30" s="6">
        <f t="shared" si="12"/>
        <v>0</v>
      </c>
      <c r="Q30" s="6">
        <f t="shared" si="13"/>
        <v>462774768.96358353</v>
      </c>
      <c r="R30" s="6">
        <f t="shared" si="14"/>
        <v>-5159151.8193771122</v>
      </c>
      <c r="S30" s="6">
        <f t="shared" si="15"/>
        <v>0</v>
      </c>
      <c r="T30" s="6">
        <f t="shared" si="16"/>
        <v>0</v>
      </c>
      <c r="U30" s="6"/>
      <c r="V30">
        <v>9</v>
      </c>
      <c r="W30" s="6">
        <f t="shared" si="24"/>
        <v>457615617.14420623</v>
      </c>
      <c r="X30" s="6">
        <f t="shared" si="25"/>
        <v>5159151.819377074</v>
      </c>
      <c r="Y30" s="6">
        <f t="shared" si="26"/>
        <v>462774768.96358329</v>
      </c>
      <c r="Z30" s="6">
        <v>0</v>
      </c>
      <c r="AA30" s="6">
        <f t="shared" si="27"/>
        <v>462774768.96358329</v>
      </c>
      <c r="AB30" s="6">
        <f t="shared" si="28"/>
        <v>-5159151.819377074</v>
      </c>
      <c r="AC30" s="6">
        <f t="shared" si="17"/>
        <v>0</v>
      </c>
      <c r="AD30" s="6"/>
      <c r="AE30" s="6"/>
      <c r="AF30" s="6"/>
      <c r="AH30">
        <v>9</v>
      </c>
      <c r="AI30" s="6">
        <f t="shared" si="18"/>
        <v>958837.61748903012</v>
      </c>
      <c r="AJ30" s="4">
        <f t="shared" si="19"/>
        <v>7645.9058103730385</v>
      </c>
      <c r="AK30" s="6">
        <f t="shared" si="20"/>
        <v>966483.52329940314</v>
      </c>
      <c r="AL30" s="4">
        <f t="shared" si="21"/>
        <v>12977.546329505407</v>
      </c>
      <c r="AM30" s="6">
        <f t="shared" si="22"/>
        <v>953505.97696989775</v>
      </c>
      <c r="AN30" s="6">
        <f t="shared" si="23"/>
        <v>5331.6405191323684</v>
      </c>
    </row>
    <row r="31" spans="2:40" x14ac:dyDescent="0.25">
      <c r="B31">
        <v>10</v>
      </c>
      <c r="C31" s="6">
        <f t="shared" si="0"/>
        <v>1074099.4986439417</v>
      </c>
      <c r="D31" s="4">
        <f t="shared" si="1"/>
        <v>8565.02023680192</v>
      </c>
      <c r="E31" s="6">
        <f t="shared" si="2"/>
        <v>1082664.5188807435</v>
      </c>
      <c r="F31" s="4">
        <v>0</v>
      </c>
      <c r="G31" s="6">
        <f t="shared" si="3"/>
        <v>1082664.5188807435</v>
      </c>
      <c r="H31" s="6">
        <f t="shared" si="4"/>
        <v>-8565.02023680192</v>
      </c>
      <c r="I31" s="6">
        <f t="shared" si="5"/>
        <v>432.25955669945535</v>
      </c>
      <c r="J31" s="6">
        <f t="shared" si="6"/>
        <v>462774768.96358353</v>
      </c>
      <c r="K31" s="6">
        <f t="shared" si="7"/>
        <v>3690230.9946691105</v>
      </c>
      <c r="L31" s="6">
        <f t="shared" si="8"/>
        <v>1515004.1713539949</v>
      </c>
      <c r="M31" s="6">
        <f t="shared" si="9"/>
        <v>12080.856012751738</v>
      </c>
      <c r="N31" s="6">
        <f t="shared" si="10"/>
        <v>5217316.0220358577</v>
      </c>
      <c r="O31" s="6">
        <f t="shared" si="11"/>
        <v>467992084.98561937</v>
      </c>
      <c r="P31" s="6">
        <f t="shared" si="12"/>
        <v>0</v>
      </c>
      <c r="Q31" s="6">
        <f t="shared" si="13"/>
        <v>467992084.98561937</v>
      </c>
      <c r="R31" s="6">
        <f t="shared" si="14"/>
        <v>-5217316.0220358577</v>
      </c>
      <c r="S31" s="6">
        <f t="shared" si="15"/>
        <v>0</v>
      </c>
      <c r="T31" s="6">
        <f t="shared" si="16"/>
        <v>0</v>
      </c>
      <c r="U31" s="6"/>
      <c r="V31">
        <v>10</v>
      </c>
      <c r="W31" s="6">
        <f t="shared" si="24"/>
        <v>462774768.96358329</v>
      </c>
      <c r="X31" s="6">
        <f t="shared" si="25"/>
        <v>5217316.0220358176</v>
      </c>
      <c r="Y31" s="6">
        <f t="shared" si="26"/>
        <v>467992084.98561913</v>
      </c>
      <c r="Z31" s="6">
        <v>0</v>
      </c>
      <c r="AA31" s="6">
        <f t="shared" si="27"/>
        <v>467992084.98561913</v>
      </c>
      <c r="AB31" s="6">
        <f t="shared" si="28"/>
        <v>-5217316.0220358176</v>
      </c>
      <c r="AC31" s="6">
        <f t="shared" si="17"/>
        <v>0</v>
      </c>
      <c r="AD31" s="6"/>
      <c r="AE31" s="6"/>
      <c r="AF31" s="6"/>
      <c r="AH31">
        <v>10</v>
      </c>
      <c r="AI31" s="6">
        <f t="shared" si="18"/>
        <v>953505.97696989775</v>
      </c>
      <c r="AJ31" s="4">
        <f t="shared" si="19"/>
        <v>7603.3905601570432</v>
      </c>
      <c r="AK31" s="6">
        <f t="shared" si="20"/>
        <v>961109.36753005476</v>
      </c>
      <c r="AL31" s="4">
        <f t="shared" si="21"/>
        <v>12977.546329505407</v>
      </c>
      <c r="AM31" s="6">
        <f t="shared" si="22"/>
        <v>948131.82120054937</v>
      </c>
      <c r="AN31" s="6">
        <f t="shared" si="23"/>
        <v>5374.1557693483637</v>
      </c>
    </row>
    <row r="32" spans="2:40" x14ac:dyDescent="0.25">
      <c r="B32">
        <v>11</v>
      </c>
      <c r="C32" s="6">
        <f t="shared" si="0"/>
        <v>1082664.5188807435</v>
      </c>
      <c r="D32" s="4">
        <f t="shared" si="1"/>
        <v>8633.3189109465802</v>
      </c>
      <c r="E32" s="6">
        <f t="shared" si="2"/>
        <v>1091297.8377916901</v>
      </c>
      <c r="F32" s="4">
        <v>0</v>
      </c>
      <c r="G32" s="6">
        <f t="shared" si="3"/>
        <v>1091297.8377916901</v>
      </c>
      <c r="H32" s="6">
        <f t="shared" si="4"/>
        <v>-8633.3189109465802</v>
      </c>
      <c r="I32" s="6">
        <f t="shared" si="5"/>
        <v>433.67466200645799</v>
      </c>
      <c r="J32" s="6">
        <f t="shared" si="6"/>
        <v>467992084.98561937</v>
      </c>
      <c r="K32" s="6">
        <f t="shared" si="7"/>
        <v>3731834.6052907938</v>
      </c>
      <c r="L32" s="6">
        <f t="shared" si="8"/>
        <v>1532084.3063716374</v>
      </c>
      <c r="M32" s="6">
        <f t="shared" si="9"/>
        <v>12217.055407927055</v>
      </c>
      <c r="N32" s="6">
        <f t="shared" si="10"/>
        <v>5276135.9670703579</v>
      </c>
      <c r="O32" s="6">
        <f t="shared" si="11"/>
        <v>473268220.95268971</v>
      </c>
      <c r="P32" s="6">
        <f t="shared" si="12"/>
        <v>0</v>
      </c>
      <c r="Q32" s="6">
        <f t="shared" si="13"/>
        <v>473268220.95268971</v>
      </c>
      <c r="R32" s="6">
        <f t="shared" si="14"/>
        <v>-5276135.9670703579</v>
      </c>
      <c r="S32" s="6">
        <f t="shared" si="15"/>
        <v>0</v>
      </c>
      <c r="T32" s="6">
        <f t="shared" si="16"/>
        <v>0</v>
      </c>
      <c r="U32" s="6"/>
      <c r="V32">
        <v>11</v>
      </c>
      <c r="W32" s="6">
        <f t="shared" si="24"/>
        <v>467992084.98561913</v>
      </c>
      <c r="X32" s="6">
        <f t="shared" si="25"/>
        <v>5276135.9670703188</v>
      </c>
      <c r="Y32" s="6">
        <f t="shared" si="26"/>
        <v>473268220.95268947</v>
      </c>
      <c r="Z32" s="6">
        <v>0</v>
      </c>
      <c r="AA32" s="6">
        <f t="shared" si="27"/>
        <v>473268220.95268947</v>
      </c>
      <c r="AB32" s="6">
        <f t="shared" si="28"/>
        <v>-5276135.9670703188</v>
      </c>
      <c r="AC32" s="6">
        <f t="shared" si="17"/>
        <v>0</v>
      </c>
      <c r="AD32" s="6"/>
      <c r="AE32" s="6"/>
      <c r="AF32" s="6"/>
      <c r="AH32">
        <v>11</v>
      </c>
      <c r="AI32" s="6">
        <f t="shared" si="18"/>
        <v>948131.82120054937</v>
      </c>
      <c r="AJ32" s="4">
        <f t="shared" si="19"/>
        <v>7560.5362873654558</v>
      </c>
      <c r="AK32" s="6">
        <f t="shared" si="20"/>
        <v>955692.35748791485</v>
      </c>
      <c r="AL32" s="4">
        <f t="shared" si="21"/>
        <v>12977.546329505407</v>
      </c>
      <c r="AM32" s="6">
        <f t="shared" si="22"/>
        <v>942714.81115840946</v>
      </c>
      <c r="AN32" s="6">
        <f t="shared" si="23"/>
        <v>5417.0100421399511</v>
      </c>
    </row>
    <row r="33" spans="2:40" x14ac:dyDescent="0.25">
      <c r="B33">
        <v>12</v>
      </c>
      <c r="C33" s="6">
        <f t="shared" si="0"/>
        <v>1091297.8377916901</v>
      </c>
      <c r="D33" s="4">
        <f t="shared" si="1"/>
        <v>8702.1622083099792</v>
      </c>
      <c r="E33" s="6">
        <f t="shared" si="2"/>
        <v>1100000</v>
      </c>
      <c r="F33" s="4">
        <v>0</v>
      </c>
      <c r="G33" s="6">
        <f t="shared" si="3"/>
        <v>1100000</v>
      </c>
      <c r="H33" s="6">
        <f t="shared" si="4"/>
        <v>-8702.1622083099792</v>
      </c>
      <c r="I33" s="6">
        <f t="shared" si="5"/>
        <v>435.09440000000018</v>
      </c>
      <c r="J33" s="6">
        <f t="shared" si="6"/>
        <v>473268220.95268971</v>
      </c>
      <c r="K33" s="6">
        <f t="shared" si="7"/>
        <v>3773907.2544142026</v>
      </c>
      <c r="L33" s="6">
        <f t="shared" si="8"/>
        <v>1549357.0025833261</v>
      </c>
      <c r="M33" s="6">
        <f t="shared" si="9"/>
        <v>12354.790313104855</v>
      </c>
      <c r="N33" s="6">
        <f t="shared" si="10"/>
        <v>5335619.0473106336</v>
      </c>
      <c r="O33" s="6">
        <f t="shared" si="11"/>
        <v>478603840.00000036</v>
      </c>
      <c r="P33" s="6">
        <f t="shared" si="12"/>
        <v>0</v>
      </c>
      <c r="Q33" s="6">
        <f t="shared" si="13"/>
        <v>478603840.00000036</v>
      </c>
      <c r="R33" s="6">
        <f t="shared" si="14"/>
        <v>-5335619.0473106336</v>
      </c>
      <c r="S33" s="6">
        <f t="shared" si="15"/>
        <v>0</v>
      </c>
      <c r="T33" s="6">
        <f t="shared" si="16"/>
        <v>0</v>
      </c>
      <c r="U33" s="6"/>
      <c r="V33">
        <v>12</v>
      </c>
      <c r="W33" s="6">
        <f t="shared" si="24"/>
        <v>473268220.95268947</v>
      </c>
      <c r="X33" s="6">
        <f t="shared" si="25"/>
        <v>5335619.0473105935</v>
      </c>
      <c r="Y33" s="6">
        <f t="shared" si="26"/>
        <v>478603840.00000006</v>
      </c>
      <c r="Z33" s="6">
        <v>0</v>
      </c>
      <c r="AA33" s="6">
        <f t="shared" si="27"/>
        <v>478603840.00000006</v>
      </c>
      <c r="AB33" s="6">
        <f t="shared" si="28"/>
        <v>-5335619.0473105935</v>
      </c>
      <c r="AC33" s="6">
        <f t="shared" si="17"/>
        <v>0</v>
      </c>
      <c r="AD33" s="6"/>
      <c r="AE33" s="6"/>
      <c r="AF33" s="6"/>
      <c r="AH33">
        <v>12</v>
      </c>
      <c r="AI33" s="6">
        <f t="shared" si="18"/>
        <v>942714.81115840946</v>
      </c>
      <c r="AJ33" s="4">
        <f t="shared" si="19"/>
        <v>7517.3402885846508</v>
      </c>
      <c r="AK33" s="6">
        <f t="shared" si="20"/>
        <v>950232.15144699416</v>
      </c>
      <c r="AL33" s="4">
        <f t="shared" si="21"/>
        <v>12977.546329505407</v>
      </c>
      <c r="AM33" s="6">
        <f t="shared" si="22"/>
        <v>937254.60511748877</v>
      </c>
      <c r="AN33" s="6">
        <f t="shared" si="23"/>
        <v>5460.2060409207561</v>
      </c>
    </row>
    <row r="34" spans="2:40" x14ac:dyDescent="0.25">
      <c r="B34">
        <v>13</v>
      </c>
      <c r="C34" s="6">
        <f t="shared" si="0"/>
        <v>1100000</v>
      </c>
      <c r="D34" s="4">
        <f t="shared" si="1"/>
        <v>8771.5544717941411</v>
      </c>
      <c r="E34" s="6">
        <f t="shared" si="2"/>
        <v>1108771.5544717941</v>
      </c>
      <c r="F34" s="4">
        <v>0</v>
      </c>
      <c r="G34" s="6">
        <f t="shared" si="3"/>
        <v>1108771.5544717941</v>
      </c>
      <c r="H34" s="6">
        <f t="shared" si="4"/>
        <v>-8771.5544717941411</v>
      </c>
      <c r="I34" s="6">
        <f t="shared" si="5"/>
        <v>436.51878584629213</v>
      </c>
      <c r="J34" s="6">
        <f t="shared" si="6"/>
        <v>478603840.00000036</v>
      </c>
      <c r="K34" s="6">
        <f t="shared" si="7"/>
        <v>3816454.2299725916</v>
      </c>
      <c r="L34" s="6">
        <f t="shared" si="8"/>
        <v>1566824.4309211653</v>
      </c>
      <c r="M34" s="6">
        <f t="shared" si="9"/>
        <v>12494.078039602598</v>
      </c>
      <c r="N34" s="6">
        <f t="shared" si="10"/>
        <v>5395772.7389333593</v>
      </c>
      <c r="O34" s="6">
        <f t="shared" si="11"/>
        <v>483999612.73893374</v>
      </c>
      <c r="P34" s="6">
        <f t="shared" si="12"/>
        <v>0</v>
      </c>
      <c r="Q34" s="6">
        <f t="shared" si="13"/>
        <v>483999612.73893374</v>
      </c>
      <c r="R34" s="6">
        <f t="shared" si="14"/>
        <v>-5395772.7389333593</v>
      </c>
      <c r="S34" s="6">
        <f t="shared" si="15"/>
        <v>0</v>
      </c>
      <c r="T34" s="6">
        <f t="shared" si="16"/>
        <v>0</v>
      </c>
      <c r="U34" s="6"/>
      <c r="V34">
        <v>13</v>
      </c>
      <c r="W34" s="6">
        <f t="shared" si="24"/>
        <v>478603840.00000006</v>
      </c>
      <c r="X34" s="6">
        <f t="shared" si="25"/>
        <v>5395772.7389333183</v>
      </c>
      <c r="Y34" s="6">
        <f t="shared" si="26"/>
        <v>483999612.73893338</v>
      </c>
      <c r="Z34" s="6">
        <v>0</v>
      </c>
      <c r="AA34" s="6">
        <f t="shared" si="27"/>
        <v>483999612.73893338</v>
      </c>
      <c r="AB34" s="6">
        <f t="shared" si="28"/>
        <v>-5395772.7389333183</v>
      </c>
      <c r="AC34" s="6">
        <f t="shared" si="17"/>
        <v>0</v>
      </c>
      <c r="AD34" s="6"/>
      <c r="AE34" s="6"/>
      <c r="AF34" s="6"/>
      <c r="AH34">
        <v>13</v>
      </c>
      <c r="AI34" s="6">
        <f t="shared" si="18"/>
        <v>937254.60511748877</v>
      </c>
      <c r="AJ34" s="4">
        <f t="shared" si="19"/>
        <v>7473.7998388435999</v>
      </c>
      <c r="AK34" s="6">
        <f t="shared" si="20"/>
        <v>944728.40495633241</v>
      </c>
      <c r="AL34" s="4">
        <f t="shared" si="21"/>
        <v>12977.546329505407</v>
      </c>
      <c r="AM34" s="6">
        <f t="shared" si="22"/>
        <v>931750.85862682702</v>
      </c>
      <c r="AN34" s="6">
        <f t="shared" si="23"/>
        <v>5503.746490661807</v>
      </c>
    </row>
    <row r="35" spans="2:40" x14ac:dyDescent="0.25">
      <c r="B35">
        <v>14</v>
      </c>
      <c r="C35" s="6">
        <f t="shared" si="0"/>
        <v>1108771.5544717941</v>
      </c>
      <c r="D35" s="4">
        <f t="shared" si="1"/>
        <v>8841.5000789320056</v>
      </c>
      <c r="E35" s="6">
        <f t="shared" si="2"/>
        <v>1117613.054550726</v>
      </c>
      <c r="F35" s="4">
        <v>0</v>
      </c>
      <c r="G35" s="6">
        <f t="shared" si="3"/>
        <v>1117613.054550726</v>
      </c>
      <c r="H35" s="6">
        <f t="shared" si="4"/>
        <v>-8841.5000789320056</v>
      </c>
      <c r="I35" s="6">
        <f t="shared" si="5"/>
        <v>437.94783476119431</v>
      </c>
      <c r="J35" s="6">
        <f t="shared" si="6"/>
        <v>483999612.73893374</v>
      </c>
      <c r="K35" s="6">
        <f t="shared" si="7"/>
        <v>3859480.8795152968</v>
      </c>
      <c r="L35" s="6">
        <f t="shared" si="8"/>
        <v>1584488.786792316</v>
      </c>
      <c r="M35" s="6">
        <f t="shared" si="9"/>
        <v>12634.936093905282</v>
      </c>
      <c r="N35" s="6">
        <f t="shared" si="10"/>
        <v>5456604.6024015183</v>
      </c>
      <c r="O35" s="6">
        <f t="shared" si="11"/>
        <v>489456217.34133524</v>
      </c>
      <c r="P35" s="6">
        <f t="shared" si="12"/>
        <v>0</v>
      </c>
      <c r="Q35" s="6">
        <f t="shared" si="13"/>
        <v>489456217.34133524</v>
      </c>
      <c r="R35" s="6">
        <f t="shared" si="14"/>
        <v>-5456604.6024015183</v>
      </c>
      <c r="S35" s="6">
        <f t="shared" si="15"/>
        <v>0</v>
      </c>
      <c r="T35" s="6">
        <f t="shared" si="16"/>
        <v>0</v>
      </c>
      <c r="U35" s="6"/>
      <c r="V35">
        <v>14</v>
      </c>
      <c r="W35" s="6">
        <f t="shared" si="24"/>
        <v>483999612.73893338</v>
      </c>
      <c r="X35" s="6">
        <f t="shared" si="25"/>
        <v>5456604.6024014754</v>
      </c>
      <c r="Y35" s="6">
        <f t="shared" si="26"/>
        <v>489456217.34133488</v>
      </c>
      <c r="Z35" s="6">
        <v>0</v>
      </c>
      <c r="AA35" s="6">
        <f t="shared" si="27"/>
        <v>489456217.34133488</v>
      </c>
      <c r="AB35" s="6">
        <f t="shared" si="28"/>
        <v>-5456604.6024014754</v>
      </c>
      <c r="AC35" s="6">
        <f t="shared" si="17"/>
        <v>0</v>
      </c>
      <c r="AD35" s="6"/>
      <c r="AE35" s="6"/>
      <c r="AF35" s="6"/>
      <c r="AH35">
        <v>14</v>
      </c>
      <c r="AI35" s="6">
        <f t="shared" si="18"/>
        <v>931750.85862682702</v>
      </c>
      <c r="AJ35" s="4">
        <f t="shared" si="19"/>
        <v>7429.9121914419766</v>
      </c>
      <c r="AK35" s="6">
        <f t="shared" si="20"/>
        <v>939180.770818269</v>
      </c>
      <c r="AL35" s="4">
        <f t="shared" si="21"/>
        <v>12977.546329505407</v>
      </c>
      <c r="AM35" s="6">
        <f t="shared" si="22"/>
        <v>926203.2244887636</v>
      </c>
      <c r="AN35" s="6">
        <f t="shared" si="23"/>
        <v>5547.6341380634303</v>
      </c>
    </row>
    <row r="36" spans="2:40" x14ac:dyDescent="0.25">
      <c r="B36">
        <v>15</v>
      </c>
      <c r="C36" s="6">
        <f t="shared" si="0"/>
        <v>1117613.054550726</v>
      </c>
      <c r="D36" s="4">
        <f t="shared" si="1"/>
        <v>8912.0034421635719</v>
      </c>
      <c r="E36" s="6">
        <f t="shared" si="2"/>
        <v>1126525.0579928895</v>
      </c>
      <c r="F36" s="4">
        <v>0</v>
      </c>
      <c r="G36" s="6">
        <f t="shared" si="3"/>
        <v>1126525.0579928895</v>
      </c>
      <c r="H36" s="6">
        <f t="shared" si="4"/>
        <v>-8912.0034421635719</v>
      </c>
      <c r="I36" s="6">
        <f t="shared" si="5"/>
        <v>439.38156201037992</v>
      </c>
      <c r="J36" s="6">
        <f t="shared" si="6"/>
        <v>489456217.34133524</v>
      </c>
      <c r="K36" s="6">
        <f t="shared" si="7"/>
        <v>3902992.6108798492</v>
      </c>
      <c r="L36" s="6">
        <f t="shared" si="8"/>
        <v>1602352.2903549273</v>
      </c>
      <c r="M36" s="6">
        <f t="shared" si="9"/>
        <v>12777.38217986577</v>
      </c>
      <c r="N36" s="6">
        <f t="shared" si="10"/>
        <v>5518122.2834146423</v>
      </c>
      <c r="O36" s="6">
        <f t="shared" si="11"/>
        <v>494974339.6247499</v>
      </c>
      <c r="P36" s="6">
        <f t="shared" si="12"/>
        <v>0</v>
      </c>
      <c r="Q36" s="6">
        <f t="shared" si="13"/>
        <v>494974339.6247499</v>
      </c>
      <c r="R36" s="6">
        <f t="shared" si="14"/>
        <v>-5518122.2834146423</v>
      </c>
      <c r="S36" s="6">
        <f t="shared" si="15"/>
        <v>0</v>
      </c>
      <c r="T36" s="6">
        <f t="shared" si="16"/>
        <v>0</v>
      </c>
      <c r="U36" s="6"/>
      <c r="V36">
        <v>15</v>
      </c>
      <c r="W36" s="6">
        <f t="shared" si="24"/>
        <v>489456217.34133488</v>
      </c>
      <c r="X36" s="6">
        <f t="shared" si="25"/>
        <v>5518122.2834145995</v>
      </c>
      <c r="Y36" s="6">
        <f t="shared" si="26"/>
        <v>494974339.62474948</v>
      </c>
      <c r="Z36" s="6">
        <v>0</v>
      </c>
      <c r="AA36" s="6">
        <f t="shared" si="27"/>
        <v>494974339.62474948</v>
      </c>
      <c r="AB36" s="6">
        <f t="shared" si="28"/>
        <v>-5518122.2834145995</v>
      </c>
      <c r="AC36" s="6">
        <f t="shared" si="17"/>
        <v>0</v>
      </c>
      <c r="AD36" s="6"/>
      <c r="AE36" s="6"/>
      <c r="AF36" s="6"/>
      <c r="AH36">
        <v>15</v>
      </c>
      <c r="AI36" s="6">
        <f t="shared" si="18"/>
        <v>926203.2244887636</v>
      </c>
      <c r="AJ36" s="4">
        <f t="shared" si="19"/>
        <v>7385.6745777768792</v>
      </c>
      <c r="AK36" s="6">
        <f t="shared" si="20"/>
        <v>933588.89906654053</v>
      </c>
      <c r="AL36" s="4">
        <f t="shared" si="21"/>
        <v>12977.546329505407</v>
      </c>
      <c r="AM36" s="6">
        <f t="shared" si="22"/>
        <v>920611.35273703514</v>
      </c>
      <c r="AN36" s="6">
        <f t="shared" si="23"/>
        <v>5591.8717517285277</v>
      </c>
    </row>
    <row r="37" spans="2:40" x14ac:dyDescent="0.25">
      <c r="B37">
        <v>16</v>
      </c>
      <c r="C37" s="6">
        <f t="shared" si="0"/>
        <v>1126525.0579928895</v>
      </c>
      <c r="D37" s="4">
        <f t="shared" si="1"/>
        <v>8983.0690091142587</v>
      </c>
      <c r="E37" s="6">
        <f t="shared" si="2"/>
        <v>1135508.1270020038</v>
      </c>
      <c r="F37" s="4">
        <v>0</v>
      </c>
      <c r="G37" s="6">
        <f t="shared" si="3"/>
        <v>1135508.1270020038</v>
      </c>
      <c r="H37" s="6">
        <f t="shared" si="4"/>
        <v>-8983.0690091142587</v>
      </c>
      <c r="I37" s="6">
        <f t="shared" si="5"/>
        <v>440.81998290949798</v>
      </c>
      <c r="J37" s="6">
        <f t="shared" si="6"/>
        <v>494974339.6247499</v>
      </c>
      <c r="K37" s="6">
        <f t="shared" si="7"/>
        <v>3946994.8928716606</v>
      </c>
      <c r="L37" s="6">
        <f t="shared" si="8"/>
        <v>1620417.1867971802</v>
      </c>
      <c r="M37" s="6">
        <f t="shared" si="9"/>
        <v>12921.434200929898</v>
      </c>
      <c r="N37" s="6">
        <f t="shared" si="10"/>
        <v>5580333.5138697708</v>
      </c>
      <c r="O37" s="6">
        <f t="shared" si="11"/>
        <v>500554673.13861966</v>
      </c>
      <c r="P37" s="6">
        <f t="shared" si="12"/>
        <v>0</v>
      </c>
      <c r="Q37" s="6">
        <f t="shared" si="13"/>
        <v>500554673.13861966</v>
      </c>
      <c r="R37" s="6">
        <f t="shared" si="14"/>
        <v>-5580333.5138697708</v>
      </c>
      <c r="S37" s="6">
        <f t="shared" si="15"/>
        <v>0</v>
      </c>
      <c r="T37" s="6">
        <f t="shared" si="16"/>
        <v>0</v>
      </c>
      <c r="U37" s="6"/>
      <c r="V37">
        <v>16</v>
      </c>
      <c r="W37" s="6">
        <f t="shared" si="24"/>
        <v>494974339.62474948</v>
      </c>
      <c r="X37" s="6">
        <f t="shared" si="25"/>
        <v>5580333.513869727</v>
      </c>
      <c r="Y37" s="6">
        <f t="shared" si="26"/>
        <v>500554673.13861918</v>
      </c>
      <c r="Z37" s="6">
        <v>0</v>
      </c>
      <c r="AA37" s="6">
        <f t="shared" si="27"/>
        <v>500554673.13861918</v>
      </c>
      <c r="AB37" s="6">
        <f t="shared" si="28"/>
        <v>-5580333.513869727</v>
      </c>
      <c r="AC37" s="6">
        <f t="shared" si="17"/>
        <v>0</v>
      </c>
      <c r="AD37" s="6"/>
      <c r="AE37" s="6"/>
      <c r="AF37" s="6"/>
      <c r="AH37">
        <v>16</v>
      </c>
      <c r="AI37" s="6">
        <f t="shared" si="18"/>
        <v>920611.35273703514</v>
      </c>
      <c r="AJ37" s="4">
        <f t="shared" si="19"/>
        <v>7341.0842071681764</v>
      </c>
      <c r="AK37" s="6">
        <f t="shared" si="20"/>
        <v>927952.43694420333</v>
      </c>
      <c r="AL37" s="4">
        <f t="shared" si="21"/>
        <v>12977.546329505407</v>
      </c>
      <c r="AM37" s="6">
        <f t="shared" si="22"/>
        <v>914974.89061469794</v>
      </c>
      <c r="AN37" s="6">
        <f t="shared" si="23"/>
        <v>5636.4621223372305</v>
      </c>
    </row>
    <row r="38" spans="2:40" x14ac:dyDescent="0.25">
      <c r="B38">
        <v>17</v>
      </c>
      <c r="C38" s="6">
        <f t="shared" si="0"/>
        <v>1135508.1270020038</v>
      </c>
      <c r="D38" s="4">
        <f t="shared" si="1"/>
        <v>9054.7012628754692</v>
      </c>
      <c r="E38" s="6">
        <f t="shared" si="2"/>
        <v>1144562.8282648793</v>
      </c>
      <c r="F38" s="4">
        <v>0</v>
      </c>
      <c r="G38" s="6">
        <f t="shared" si="3"/>
        <v>1144562.8282648793</v>
      </c>
      <c r="H38" s="6">
        <f t="shared" si="4"/>
        <v>-9054.7012628754692</v>
      </c>
      <c r="I38" s="6">
        <f t="shared" si="5"/>
        <v>442.26311282433704</v>
      </c>
      <c r="J38" s="6">
        <f t="shared" si="6"/>
        <v>500554673.13861966</v>
      </c>
      <c r="K38" s="6">
        <f t="shared" si="7"/>
        <v>3991493.2559513762</v>
      </c>
      <c r="L38" s="6">
        <f t="shared" si="8"/>
        <v>1638685.7466194734</v>
      </c>
      <c r="M38" s="6">
        <f t="shared" si="9"/>
        <v>13067.110262386694</v>
      </c>
      <c r="N38" s="6">
        <f t="shared" si="10"/>
        <v>5643246.1128332363</v>
      </c>
      <c r="O38" s="6">
        <f t="shared" si="11"/>
        <v>506197919.25145292</v>
      </c>
      <c r="P38" s="6">
        <f t="shared" si="12"/>
        <v>0</v>
      </c>
      <c r="Q38" s="6">
        <f t="shared" si="13"/>
        <v>506197919.25145292</v>
      </c>
      <c r="R38" s="6">
        <f t="shared" si="14"/>
        <v>-5643246.1128332363</v>
      </c>
      <c r="S38" s="6">
        <f t="shared" si="15"/>
        <v>0</v>
      </c>
      <c r="T38" s="6">
        <f t="shared" si="16"/>
        <v>0</v>
      </c>
      <c r="U38" s="6"/>
      <c r="V38">
        <v>17</v>
      </c>
      <c r="W38" s="6">
        <f t="shared" si="24"/>
        <v>500554673.13861918</v>
      </c>
      <c r="X38" s="6">
        <f t="shared" si="25"/>
        <v>5643246.1128331916</v>
      </c>
      <c r="Y38" s="6">
        <f t="shared" si="26"/>
        <v>506197919.25145239</v>
      </c>
      <c r="Z38" s="6">
        <v>0</v>
      </c>
      <c r="AA38" s="6">
        <f t="shared" si="27"/>
        <v>506197919.25145239</v>
      </c>
      <c r="AB38" s="6">
        <f t="shared" si="28"/>
        <v>-5643246.1128331916</v>
      </c>
      <c r="AC38" s="6">
        <f t="shared" si="17"/>
        <v>0</v>
      </c>
      <c r="AD38" s="6"/>
      <c r="AE38" s="6"/>
      <c r="AF38" s="6"/>
      <c r="AH38">
        <v>17</v>
      </c>
      <c r="AI38" s="6">
        <f t="shared" si="18"/>
        <v>914974.89061469794</v>
      </c>
      <c r="AJ38" s="4">
        <f t="shared" si="19"/>
        <v>7296.138266682462</v>
      </c>
      <c r="AK38" s="6">
        <f t="shared" si="20"/>
        <v>922271.02888138045</v>
      </c>
      <c r="AL38" s="4">
        <f t="shared" si="21"/>
        <v>12977.546329505407</v>
      </c>
      <c r="AM38" s="6">
        <f t="shared" si="22"/>
        <v>909293.48255187506</v>
      </c>
      <c r="AN38" s="6">
        <f t="shared" si="23"/>
        <v>5681.4080628229449</v>
      </c>
    </row>
    <row r="39" spans="2:40" x14ac:dyDescent="0.25">
      <c r="B39">
        <v>18</v>
      </c>
      <c r="C39" s="6">
        <f t="shared" si="0"/>
        <v>1144562.8282648793</v>
      </c>
      <c r="D39" s="4">
        <f t="shared" si="1"/>
        <v>9126.9047222874106</v>
      </c>
      <c r="E39" s="6">
        <f t="shared" si="2"/>
        <v>1153689.7329871666</v>
      </c>
      <c r="F39" s="4">
        <v>0</v>
      </c>
      <c r="G39" s="6">
        <f t="shared" si="3"/>
        <v>1153689.7329871666</v>
      </c>
      <c r="H39" s="6">
        <f t="shared" si="4"/>
        <v>-9126.9047222874106</v>
      </c>
      <c r="I39" s="6">
        <f t="shared" si="5"/>
        <v>443.71096717098919</v>
      </c>
      <c r="J39" s="6">
        <f t="shared" si="6"/>
        <v>506197919.25145292</v>
      </c>
      <c r="K39" s="6">
        <f t="shared" si="7"/>
        <v>4036493.2929299739</v>
      </c>
      <c r="L39" s="6">
        <f t="shared" si="8"/>
        <v>1657160.2659197953</v>
      </c>
      <c r="M39" s="6">
        <f t="shared" si="9"/>
        <v>13214.428673643952</v>
      </c>
      <c r="N39" s="6">
        <f t="shared" si="10"/>
        <v>5706867.9875234133</v>
      </c>
      <c r="O39" s="6">
        <f t="shared" si="11"/>
        <v>511904787.23897636</v>
      </c>
      <c r="P39" s="6">
        <f t="shared" si="12"/>
        <v>0</v>
      </c>
      <c r="Q39" s="6">
        <f t="shared" si="13"/>
        <v>511904787.23897636</v>
      </c>
      <c r="R39" s="6">
        <f t="shared" si="14"/>
        <v>-5706867.9875234133</v>
      </c>
      <c r="S39" s="6">
        <f t="shared" si="15"/>
        <v>0</v>
      </c>
      <c r="T39" s="6">
        <f t="shared" si="16"/>
        <v>0</v>
      </c>
      <c r="U39" s="6"/>
      <c r="V39">
        <v>18</v>
      </c>
      <c r="W39" s="6">
        <f t="shared" si="24"/>
        <v>506197919.25145239</v>
      </c>
      <c r="X39" s="6">
        <f t="shared" si="25"/>
        <v>5706867.9875233667</v>
      </c>
      <c r="Y39" s="6">
        <f t="shared" si="26"/>
        <v>511904787.23897576</v>
      </c>
      <c r="Z39" s="6">
        <v>0</v>
      </c>
      <c r="AA39" s="6">
        <f t="shared" si="27"/>
        <v>511904787.23897576</v>
      </c>
      <c r="AB39" s="6">
        <f t="shared" si="28"/>
        <v>-5706867.9875233667</v>
      </c>
      <c r="AC39" s="6">
        <f t="shared" si="17"/>
        <v>0</v>
      </c>
      <c r="AD39" s="6"/>
      <c r="AE39" s="6"/>
      <c r="AF39" s="6"/>
      <c r="AH39">
        <v>18</v>
      </c>
      <c r="AI39" s="6">
        <f t="shared" si="18"/>
        <v>909293.48255187506</v>
      </c>
      <c r="AJ39" s="4">
        <f t="shared" si="19"/>
        <v>7250.8339209556061</v>
      </c>
      <c r="AK39" s="6">
        <f t="shared" si="20"/>
        <v>916544.31647283072</v>
      </c>
      <c r="AL39" s="4">
        <f t="shared" si="21"/>
        <v>12977.546329505407</v>
      </c>
      <c r="AM39" s="6">
        <f t="shared" si="22"/>
        <v>903566.77014332532</v>
      </c>
      <c r="AN39" s="6">
        <f t="shared" si="23"/>
        <v>5726.7124085498008</v>
      </c>
    </row>
    <row r="40" spans="2:40" x14ac:dyDescent="0.25">
      <c r="B40">
        <v>19</v>
      </c>
      <c r="C40" s="6">
        <f t="shared" si="0"/>
        <v>1153689.7329871666</v>
      </c>
      <c r="D40" s="4">
        <f t="shared" si="1"/>
        <v>9199.6839422241537</v>
      </c>
      <c r="E40" s="6">
        <f t="shared" si="2"/>
        <v>1162889.4169293907</v>
      </c>
      <c r="F40" s="4">
        <v>0</v>
      </c>
      <c r="G40" s="6">
        <f t="shared" si="3"/>
        <v>1162889.4169293907</v>
      </c>
      <c r="H40" s="6">
        <f t="shared" si="4"/>
        <v>-9199.6839422241537</v>
      </c>
      <c r="I40" s="6">
        <f t="shared" si="5"/>
        <v>445.16356141601483</v>
      </c>
      <c r="J40" s="6">
        <f t="shared" si="6"/>
        <v>511904787.23897636</v>
      </c>
      <c r="K40" s="6">
        <f t="shared" si="7"/>
        <v>4082000.659671701</v>
      </c>
      <c r="L40" s="6">
        <f t="shared" si="8"/>
        <v>1675843.0666823082</v>
      </c>
      <c r="M40" s="6">
        <f t="shared" si="9"/>
        <v>13363.407950529459</v>
      </c>
      <c r="N40" s="6">
        <f t="shared" si="10"/>
        <v>5771207.1343045384</v>
      </c>
      <c r="O40" s="6">
        <f t="shared" si="11"/>
        <v>517675994.37328088</v>
      </c>
      <c r="P40" s="6">
        <f t="shared" si="12"/>
        <v>0</v>
      </c>
      <c r="Q40" s="6">
        <f t="shared" si="13"/>
        <v>517675994.37328088</v>
      </c>
      <c r="R40" s="6">
        <f t="shared" si="14"/>
        <v>-5771207.1343045384</v>
      </c>
      <c r="S40" s="6">
        <f t="shared" si="15"/>
        <v>0</v>
      </c>
      <c r="T40" s="6">
        <f t="shared" si="16"/>
        <v>0</v>
      </c>
      <c r="U40" s="6"/>
      <c r="V40">
        <v>19</v>
      </c>
      <c r="W40" s="6">
        <f t="shared" si="24"/>
        <v>511904787.23897576</v>
      </c>
      <c r="X40" s="6">
        <f t="shared" si="25"/>
        <v>5771207.1343044918</v>
      </c>
      <c r="Y40" s="6">
        <f t="shared" si="26"/>
        <v>517675994.37328023</v>
      </c>
      <c r="Z40" s="6">
        <v>0</v>
      </c>
      <c r="AA40" s="6">
        <f t="shared" si="27"/>
        <v>517675994.37328023</v>
      </c>
      <c r="AB40" s="6">
        <f t="shared" si="28"/>
        <v>-5771207.1343044918</v>
      </c>
      <c r="AC40" s="6">
        <f t="shared" si="17"/>
        <v>0</v>
      </c>
      <c r="AD40" s="6"/>
      <c r="AE40" s="6"/>
      <c r="AF40" s="6"/>
      <c r="AH40">
        <v>19</v>
      </c>
      <c r="AI40" s="6">
        <f t="shared" si="18"/>
        <v>903566.77014332532</v>
      </c>
      <c r="AJ40" s="4">
        <f t="shared" si="19"/>
        <v>7205.168312013885</v>
      </c>
      <c r="AK40" s="6">
        <f t="shared" si="20"/>
        <v>910771.93845533917</v>
      </c>
      <c r="AL40" s="4">
        <f t="shared" si="21"/>
        <v>12977.546329505407</v>
      </c>
      <c r="AM40" s="6">
        <f t="shared" si="22"/>
        <v>897794.39212583378</v>
      </c>
      <c r="AN40" s="6">
        <f t="shared" si="23"/>
        <v>5772.3780174915219</v>
      </c>
    </row>
    <row r="41" spans="2:40" x14ac:dyDescent="0.25">
      <c r="B41">
        <v>20</v>
      </c>
      <c r="C41" s="6">
        <f t="shared" si="0"/>
        <v>1162889.4169293907</v>
      </c>
      <c r="D41" s="4">
        <f t="shared" si="1"/>
        <v>9273.0435138809808</v>
      </c>
      <c r="E41" s="6">
        <f t="shared" si="2"/>
        <v>1172162.4604432718</v>
      </c>
      <c r="F41" s="4">
        <v>0</v>
      </c>
      <c r="G41" s="6">
        <f t="shared" si="3"/>
        <v>1172162.4604432718</v>
      </c>
      <c r="H41" s="6">
        <f t="shared" si="4"/>
        <v>-9273.0435138809808</v>
      </c>
      <c r="I41" s="6">
        <f t="shared" si="5"/>
        <v>446.6209110766078</v>
      </c>
      <c r="J41" s="6">
        <f t="shared" si="6"/>
        <v>517675994.37328088</v>
      </c>
      <c r="K41" s="6">
        <f t="shared" si="7"/>
        <v>4128021.0758049367</v>
      </c>
      <c r="L41" s="6">
        <f t="shared" si="8"/>
        <v>1694736.497069191</v>
      </c>
      <c r="M41" s="6">
        <f t="shared" si="9"/>
        <v>13514.066817618183</v>
      </c>
      <c r="N41" s="6">
        <f t="shared" si="10"/>
        <v>5836271.6396917459</v>
      </c>
      <c r="O41" s="6">
        <f t="shared" si="11"/>
        <v>523512266.01297265</v>
      </c>
      <c r="P41" s="6">
        <f t="shared" si="12"/>
        <v>0</v>
      </c>
      <c r="Q41" s="6">
        <f t="shared" si="13"/>
        <v>523512266.01297265</v>
      </c>
      <c r="R41" s="6">
        <f t="shared" si="14"/>
        <v>-5836271.6396917459</v>
      </c>
      <c r="S41" s="6">
        <f t="shared" si="15"/>
        <v>0</v>
      </c>
      <c r="T41" s="6">
        <f t="shared" si="16"/>
        <v>0</v>
      </c>
      <c r="U41" s="6"/>
      <c r="V41">
        <v>20</v>
      </c>
      <c r="W41" s="6">
        <f t="shared" si="24"/>
        <v>517675994.37328023</v>
      </c>
      <c r="X41" s="6">
        <f t="shared" si="25"/>
        <v>5836271.6396916974</v>
      </c>
      <c r="Y41" s="6">
        <f t="shared" si="26"/>
        <v>523512266.01297194</v>
      </c>
      <c r="Z41" s="6">
        <v>0</v>
      </c>
      <c r="AA41" s="6">
        <f t="shared" si="27"/>
        <v>523512266.01297194</v>
      </c>
      <c r="AB41" s="6">
        <f t="shared" si="28"/>
        <v>-5836271.6396916974</v>
      </c>
      <c r="AC41" s="6">
        <f t="shared" si="17"/>
        <v>0</v>
      </c>
      <c r="AD41" s="6"/>
      <c r="AE41" s="6"/>
      <c r="AF41" s="6"/>
      <c r="AH41">
        <v>20</v>
      </c>
      <c r="AI41" s="6">
        <f t="shared" si="18"/>
        <v>897794.39212583378</v>
      </c>
      <c r="AJ41" s="4">
        <f t="shared" si="19"/>
        <v>7159.1385590936907</v>
      </c>
      <c r="AK41" s="6">
        <f t="shared" si="20"/>
        <v>904953.53068492748</v>
      </c>
      <c r="AL41" s="4">
        <f t="shared" si="21"/>
        <v>12977.546329505407</v>
      </c>
      <c r="AM41" s="6">
        <f t="shared" si="22"/>
        <v>891975.98435542209</v>
      </c>
      <c r="AN41" s="6">
        <f t="shared" si="23"/>
        <v>5818.4077704117162</v>
      </c>
    </row>
    <row r="42" spans="2:40" x14ac:dyDescent="0.25">
      <c r="B42">
        <v>21</v>
      </c>
      <c r="C42" s="6">
        <f t="shared" si="0"/>
        <v>1172162.4604432718</v>
      </c>
      <c r="D42" s="4">
        <f t="shared" si="1"/>
        <v>9346.9880650640025</v>
      </c>
      <c r="E42" s="6">
        <f t="shared" si="2"/>
        <v>1181509.4485083357</v>
      </c>
      <c r="F42" s="4">
        <v>0</v>
      </c>
      <c r="G42" s="6">
        <f t="shared" si="3"/>
        <v>1181509.4485083357</v>
      </c>
      <c r="H42" s="6">
        <f t="shared" si="4"/>
        <v>-9346.9880650640025</v>
      </c>
      <c r="I42" s="6">
        <f t="shared" si="5"/>
        <v>448.0830317207612</v>
      </c>
      <c r="J42" s="6">
        <f t="shared" si="6"/>
        <v>523512266.01297265</v>
      </c>
      <c r="K42" s="6">
        <f t="shared" si="7"/>
        <v>4174560.3254410671</v>
      </c>
      <c r="L42" s="6">
        <f t="shared" si="8"/>
        <v>1713842.9317157692</v>
      </c>
      <c r="M42" s="6">
        <f t="shared" si="9"/>
        <v>13666.424210585668</v>
      </c>
      <c r="N42" s="6">
        <f t="shared" si="10"/>
        <v>5902069.6813674215</v>
      </c>
      <c r="O42" s="6">
        <f t="shared" si="11"/>
        <v>529414335.69434005</v>
      </c>
      <c r="P42" s="6">
        <f t="shared" si="12"/>
        <v>0</v>
      </c>
      <c r="Q42" s="6">
        <f t="shared" si="13"/>
        <v>529414335.69434005</v>
      </c>
      <c r="R42" s="6">
        <f t="shared" si="14"/>
        <v>-5902069.6813674215</v>
      </c>
      <c r="S42" s="6">
        <f t="shared" si="15"/>
        <v>0</v>
      </c>
      <c r="T42" s="6">
        <f t="shared" si="16"/>
        <v>0</v>
      </c>
      <c r="U42" s="6"/>
      <c r="V42">
        <v>21</v>
      </c>
      <c r="W42" s="6">
        <f t="shared" si="24"/>
        <v>523512266.01297194</v>
      </c>
      <c r="X42" s="6">
        <f t="shared" si="25"/>
        <v>5902069.6813673731</v>
      </c>
      <c r="Y42" s="6">
        <f t="shared" si="26"/>
        <v>529414335.69433933</v>
      </c>
      <c r="Z42" s="6">
        <v>0</v>
      </c>
      <c r="AA42" s="6">
        <f t="shared" si="27"/>
        <v>529414335.69433933</v>
      </c>
      <c r="AB42" s="6">
        <f t="shared" si="28"/>
        <v>-5902069.6813673731</v>
      </c>
      <c r="AC42" s="6">
        <f t="shared" si="17"/>
        <v>0</v>
      </c>
      <c r="AD42" s="6"/>
      <c r="AE42" s="6"/>
      <c r="AF42" s="6"/>
      <c r="AH42">
        <v>21</v>
      </c>
      <c r="AI42" s="6">
        <f t="shared" si="18"/>
        <v>891975.98435542209</v>
      </c>
      <c r="AJ42" s="4">
        <f t="shared" si="19"/>
        <v>7112.7417584598024</v>
      </c>
      <c r="AK42" s="6">
        <f t="shared" si="20"/>
        <v>899088.72611388192</v>
      </c>
      <c r="AL42" s="4">
        <f t="shared" si="21"/>
        <v>12977.546329505407</v>
      </c>
      <c r="AM42" s="6">
        <f t="shared" si="22"/>
        <v>886111.17978437652</v>
      </c>
      <c r="AN42" s="6">
        <f t="shared" si="23"/>
        <v>5864.8045710456045</v>
      </c>
    </row>
    <row r="43" spans="2:40" x14ac:dyDescent="0.25">
      <c r="B43">
        <v>22</v>
      </c>
      <c r="C43" s="6">
        <f t="shared" si="0"/>
        <v>1181509.4485083357</v>
      </c>
      <c r="D43" s="4">
        <f t="shared" si="1"/>
        <v>9421.5222604821101</v>
      </c>
      <c r="E43" s="6">
        <f t="shared" si="2"/>
        <v>1190930.9707688179</v>
      </c>
      <c r="F43" s="4">
        <v>0</v>
      </c>
      <c r="G43" s="6">
        <f t="shared" si="3"/>
        <v>1190930.9707688179</v>
      </c>
      <c r="H43" s="6">
        <f t="shared" si="4"/>
        <v>-9421.5222604821101</v>
      </c>
      <c r="I43" s="6">
        <f t="shared" si="5"/>
        <v>449.54993896743377</v>
      </c>
      <c r="J43" s="6">
        <f t="shared" si="6"/>
        <v>529414335.69434005</v>
      </c>
      <c r="K43" s="6">
        <f t="shared" si="7"/>
        <v>4221624.2579014665</v>
      </c>
      <c r="L43" s="6">
        <f t="shared" si="8"/>
        <v>1733164.7720289717</v>
      </c>
      <c r="M43" s="6">
        <f t="shared" si="9"/>
        <v>13820.499278588</v>
      </c>
      <c r="N43" s="6">
        <f t="shared" si="10"/>
        <v>5968609.5292090261</v>
      </c>
      <c r="O43" s="6">
        <f t="shared" si="11"/>
        <v>535382945.22354907</v>
      </c>
      <c r="P43" s="6">
        <f t="shared" si="12"/>
        <v>0</v>
      </c>
      <c r="Q43" s="6">
        <f t="shared" si="13"/>
        <v>535382945.22354907</v>
      </c>
      <c r="R43" s="6">
        <f t="shared" si="14"/>
        <v>-5968609.5292090261</v>
      </c>
      <c r="S43" s="6">
        <f t="shared" si="15"/>
        <v>0</v>
      </c>
      <c r="T43" s="6">
        <f t="shared" si="16"/>
        <v>0</v>
      </c>
      <c r="U43" s="6"/>
      <c r="V43">
        <v>22</v>
      </c>
      <c r="W43" s="6">
        <f t="shared" si="24"/>
        <v>529414335.69433933</v>
      </c>
      <c r="X43" s="6">
        <f t="shared" si="25"/>
        <v>5968609.5292089758</v>
      </c>
      <c r="Y43" s="6">
        <f t="shared" si="26"/>
        <v>535382945.22354829</v>
      </c>
      <c r="Z43" s="6">
        <v>0</v>
      </c>
      <c r="AA43" s="6">
        <f t="shared" si="27"/>
        <v>535382945.22354829</v>
      </c>
      <c r="AB43" s="6">
        <f t="shared" si="28"/>
        <v>-5968609.5292089758</v>
      </c>
      <c r="AC43" s="6">
        <f t="shared" si="17"/>
        <v>0</v>
      </c>
      <c r="AD43" s="6"/>
      <c r="AE43" s="6"/>
      <c r="AF43" s="6"/>
      <c r="AH43">
        <v>22</v>
      </c>
      <c r="AI43" s="6">
        <f t="shared" si="18"/>
        <v>886111.17978437652</v>
      </c>
      <c r="AJ43" s="4">
        <f t="shared" si="19"/>
        <v>7065.9749832222087</v>
      </c>
      <c r="AK43" s="6">
        <f t="shared" si="20"/>
        <v>893177.15476759872</v>
      </c>
      <c r="AL43" s="4">
        <f t="shared" si="21"/>
        <v>12977.546329505407</v>
      </c>
      <c r="AM43" s="6">
        <f t="shared" si="22"/>
        <v>880199.60843809333</v>
      </c>
      <c r="AN43" s="6">
        <f t="shared" si="23"/>
        <v>5911.5713462831982</v>
      </c>
    </row>
    <row r="44" spans="2:40" x14ac:dyDescent="0.25">
      <c r="B44">
        <v>23</v>
      </c>
      <c r="C44" s="6">
        <f t="shared" si="0"/>
        <v>1190930.9707688179</v>
      </c>
      <c r="D44" s="4">
        <f t="shared" si="1"/>
        <v>9496.6508020412384</v>
      </c>
      <c r="E44" s="6">
        <f t="shared" si="2"/>
        <v>1200427.6215708591</v>
      </c>
      <c r="F44" s="4">
        <v>0</v>
      </c>
      <c r="G44" s="6">
        <f t="shared" si="3"/>
        <v>1200427.6215708591</v>
      </c>
      <c r="H44" s="6">
        <f t="shared" si="4"/>
        <v>-9496.6508020412384</v>
      </c>
      <c r="I44" s="6">
        <f t="shared" si="5"/>
        <v>451.02164848671657</v>
      </c>
      <c r="J44" s="6">
        <f t="shared" si="6"/>
        <v>535382945.22354907</v>
      </c>
      <c r="K44" s="6">
        <f t="shared" si="7"/>
        <v>4269218.7884526718</v>
      </c>
      <c r="L44" s="6">
        <f t="shared" si="8"/>
        <v>1752704.4464891548</v>
      </c>
      <c r="M44" s="6">
        <f t="shared" si="9"/>
        <v>13976.311386668564</v>
      </c>
      <c r="N44" s="6">
        <f t="shared" si="10"/>
        <v>6035899.5463284943</v>
      </c>
      <c r="O44" s="6">
        <f t="shared" si="11"/>
        <v>541418844.76987755</v>
      </c>
      <c r="P44" s="6">
        <f t="shared" si="12"/>
        <v>0</v>
      </c>
      <c r="Q44" s="6">
        <f t="shared" si="13"/>
        <v>541418844.76987755</v>
      </c>
      <c r="R44" s="6">
        <f t="shared" si="14"/>
        <v>-6035899.5463284943</v>
      </c>
      <c r="S44" s="6">
        <f t="shared" si="15"/>
        <v>0</v>
      </c>
      <c r="T44" s="6">
        <f t="shared" si="16"/>
        <v>0</v>
      </c>
      <c r="U44" s="6"/>
      <c r="V44">
        <v>23</v>
      </c>
      <c r="W44" s="6">
        <f t="shared" si="24"/>
        <v>535382945.22354829</v>
      </c>
      <c r="X44" s="6">
        <f t="shared" si="25"/>
        <v>6035899.546328444</v>
      </c>
      <c r="Y44" s="6">
        <f t="shared" si="26"/>
        <v>541418844.76987672</v>
      </c>
      <c r="Z44" s="6">
        <v>0</v>
      </c>
      <c r="AA44" s="6">
        <f t="shared" si="27"/>
        <v>541418844.76987672</v>
      </c>
      <c r="AB44" s="6">
        <f t="shared" si="28"/>
        <v>-6035899.546328444</v>
      </c>
      <c r="AC44" s="6">
        <f t="shared" si="17"/>
        <v>0</v>
      </c>
      <c r="AD44" s="6"/>
      <c r="AE44" s="6"/>
      <c r="AF44" s="6"/>
      <c r="AH44">
        <v>23</v>
      </c>
      <c r="AI44" s="6">
        <f t="shared" si="18"/>
        <v>880199.60843809333</v>
      </c>
      <c r="AJ44" s="4">
        <f t="shared" si="19"/>
        <v>7018.835283151463</v>
      </c>
      <c r="AK44" s="6">
        <f t="shared" si="20"/>
        <v>887218.44372124481</v>
      </c>
      <c r="AL44" s="4">
        <f t="shared" si="21"/>
        <v>12977.546329505407</v>
      </c>
      <c r="AM44" s="6">
        <f t="shared" si="22"/>
        <v>874240.89739173942</v>
      </c>
      <c r="AN44" s="6">
        <f t="shared" si="23"/>
        <v>5958.7110463539439</v>
      </c>
    </row>
    <row r="45" spans="2:40" x14ac:dyDescent="0.25">
      <c r="B45">
        <v>24</v>
      </c>
      <c r="C45" s="6">
        <f t="shared" si="0"/>
        <v>1200427.6215708591</v>
      </c>
      <c r="D45" s="4">
        <f t="shared" si="1"/>
        <v>9572.3784291409756</v>
      </c>
      <c r="E45" s="6">
        <f t="shared" si="2"/>
        <v>1210000</v>
      </c>
      <c r="F45" s="4">
        <v>0</v>
      </c>
      <c r="G45" s="6">
        <f t="shared" si="3"/>
        <v>1210000</v>
      </c>
      <c r="H45" s="6">
        <f t="shared" si="4"/>
        <v>-9572.3784291409756</v>
      </c>
      <c r="I45" s="6">
        <f t="shared" si="5"/>
        <v>452.49817600000046</v>
      </c>
      <c r="J45" s="6">
        <f t="shared" si="6"/>
        <v>541418844.76987755</v>
      </c>
      <c r="K45" s="6">
        <f t="shared" si="7"/>
        <v>4317349.899049852</v>
      </c>
      <c r="L45" s="6">
        <f t="shared" si="8"/>
        <v>1772464.4109553269</v>
      </c>
      <c r="M45" s="6">
        <f t="shared" si="9"/>
        <v>14133.880118191968</v>
      </c>
      <c r="N45" s="6">
        <f t="shared" si="10"/>
        <v>6103948.1901233708</v>
      </c>
      <c r="O45" s="6">
        <f t="shared" si="11"/>
        <v>547522792.96000087</v>
      </c>
      <c r="P45" s="6">
        <f t="shared" si="12"/>
        <v>0</v>
      </c>
      <c r="Q45" s="6">
        <f t="shared" si="13"/>
        <v>547522792.96000087</v>
      </c>
      <c r="R45" s="6">
        <f t="shared" si="14"/>
        <v>-6103948.1901233708</v>
      </c>
      <c r="S45" s="6">
        <f t="shared" si="15"/>
        <v>0</v>
      </c>
      <c r="T45" s="6">
        <f t="shared" si="16"/>
        <v>0</v>
      </c>
      <c r="U45" s="6"/>
      <c r="V45">
        <v>24</v>
      </c>
      <c r="W45" s="6">
        <f t="shared" si="24"/>
        <v>541418844.76987672</v>
      </c>
      <c r="X45" s="6">
        <f t="shared" si="25"/>
        <v>6103948.1901233187</v>
      </c>
      <c r="Y45" s="6">
        <f t="shared" si="26"/>
        <v>547522792.96000004</v>
      </c>
      <c r="Z45" s="6">
        <v>0</v>
      </c>
      <c r="AA45" s="6">
        <f t="shared" si="27"/>
        <v>547522792.96000004</v>
      </c>
      <c r="AB45" s="6">
        <f t="shared" si="28"/>
        <v>-6103948.1901233187</v>
      </c>
      <c r="AC45" s="6">
        <f t="shared" si="17"/>
        <v>0</v>
      </c>
      <c r="AD45" s="6"/>
      <c r="AE45" s="6"/>
      <c r="AF45" s="6"/>
      <c r="AH45">
        <v>24</v>
      </c>
      <c r="AI45" s="6">
        <f t="shared" si="18"/>
        <v>874240.89739173942</v>
      </c>
      <c r="AJ45" s="4">
        <f t="shared" si="19"/>
        <v>6971.3196844925769</v>
      </c>
      <c r="AK45" s="6">
        <f t="shared" si="20"/>
        <v>881212.21707623196</v>
      </c>
      <c r="AL45" s="4">
        <f t="shared" si="21"/>
        <v>12977.546329505407</v>
      </c>
      <c r="AM45" s="6">
        <f t="shared" si="22"/>
        <v>868234.67074672657</v>
      </c>
      <c r="AN45" s="6">
        <f t="shared" si="23"/>
        <v>6006.22664501283</v>
      </c>
    </row>
    <row r="46" spans="2:40" x14ac:dyDescent="0.25">
      <c r="B46">
        <v>25</v>
      </c>
      <c r="C46" s="6">
        <f t="shared" si="0"/>
        <v>1210000</v>
      </c>
      <c r="D46" s="4">
        <f t="shared" si="1"/>
        <v>9648.7099189735545</v>
      </c>
      <c r="E46" s="6">
        <f t="shared" si="2"/>
        <v>1219648.7099189735</v>
      </c>
      <c r="F46" s="4">
        <v>0</v>
      </c>
      <c r="G46" s="6">
        <f t="shared" si="3"/>
        <v>1219648.7099189735</v>
      </c>
      <c r="H46" s="6">
        <f t="shared" si="4"/>
        <v>-9648.7099189735545</v>
      </c>
      <c r="I46" s="6">
        <f t="shared" si="5"/>
        <v>453.97953728014409</v>
      </c>
      <c r="J46" s="6">
        <f t="shared" si="6"/>
        <v>547522792.96000087</v>
      </c>
      <c r="K46" s="6">
        <f t="shared" si="7"/>
        <v>4366023.6390886484</v>
      </c>
      <c r="L46" s="6">
        <f t="shared" si="8"/>
        <v>1792447.1489738147</v>
      </c>
      <c r="M46" s="6">
        <f t="shared" si="9"/>
        <v>14293.225277305384</v>
      </c>
      <c r="N46" s="6">
        <f t="shared" si="10"/>
        <v>6172764.0133397691</v>
      </c>
      <c r="O46" s="6">
        <f t="shared" si="11"/>
        <v>553695556.97334063</v>
      </c>
      <c r="P46" s="6">
        <f t="shared" si="12"/>
        <v>0</v>
      </c>
      <c r="Q46" s="6">
        <f t="shared" si="13"/>
        <v>553695556.97334063</v>
      </c>
      <c r="R46" s="6">
        <f t="shared" si="14"/>
        <v>-6172764.0133397691</v>
      </c>
      <c r="S46" s="6">
        <f t="shared" si="15"/>
        <v>0</v>
      </c>
      <c r="T46" s="6">
        <f t="shared" si="16"/>
        <v>0</v>
      </c>
      <c r="U46" s="6"/>
      <c r="V46">
        <v>25</v>
      </c>
      <c r="W46" s="6">
        <f t="shared" si="24"/>
        <v>547522792.96000004</v>
      </c>
      <c r="X46" s="6">
        <f t="shared" si="25"/>
        <v>6172764.013339716</v>
      </c>
      <c r="Y46" s="6">
        <f t="shared" si="26"/>
        <v>553695556.9733398</v>
      </c>
      <c r="Z46" s="6">
        <v>0</v>
      </c>
      <c r="AA46" s="6">
        <f t="shared" si="27"/>
        <v>553695556.9733398</v>
      </c>
      <c r="AB46" s="6">
        <f t="shared" si="28"/>
        <v>-6172764.013339716</v>
      </c>
      <c r="AC46" s="6">
        <f t="shared" si="17"/>
        <v>0</v>
      </c>
      <c r="AD46" s="6"/>
      <c r="AE46" s="6"/>
      <c r="AF46" s="6"/>
      <c r="AH46">
        <v>25</v>
      </c>
      <c r="AI46" s="6">
        <f t="shared" si="18"/>
        <v>868234.67074672657</v>
      </c>
      <c r="AJ46" s="4">
        <f t="shared" si="19"/>
        <v>6923.4251897774211</v>
      </c>
      <c r="AK46" s="6">
        <f t="shared" si="20"/>
        <v>875158.09593650396</v>
      </c>
      <c r="AL46" s="4">
        <f t="shared" si="21"/>
        <v>12977.546329505407</v>
      </c>
      <c r="AM46" s="6">
        <f t="shared" si="22"/>
        <v>862180.54960699857</v>
      </c>
      <c r="AN46" s="6">
        <f t="shared" si="23"/>
        <v>6054.1211397279858</v>
      </c>
    </row>
    <row r="47" spans="2:40" x14ac:dyDescent="0.25">
      <c r="B47">
        <v>26</v>
      </c>
      <c r="C47" s="6">
        <f t="shared" si="0"/>
        <v>1219648.7099189735</v>
      </c>
      <c r="D47" s="4">
        <f t="shared" si="1"/>
        <v>9725.650086825206</v>
      </c>
      <c r="E47" s="6">
        <f t="shared" si="2"/>
        <v>1229374.3600057987</v>
      </c>
      <c r="F47" s="4">
        <v>0</v>
      </c>
      <c r="G47" s="6">
        <f t="shared" si="3"/>
        <v>1229374.3600057987</v>
      </c>
      <c r="H47" s="6">
        <f t="shared" si="4"/>
        <v>-9725.650086825206</v>
      </c>
      <c r="I47" s="6">
        <f t="shared" si="5"/>
        <v>455.46574815164234</v>
      </c>
      <c r="J47" s="6">
        <f t="shared" si="6"/>
        <v>553695556.97334063</v>
      </c>
      <c r="K47" s="6">
        <f t="shared" si="7"/>
        <v>4415246.1261655027</v>
      </c>
      <c r="L47" s="6">
        <f t="shared" si="8"/>
        <v>1812655.1720904107</v>
      </c>
      <c r="M47" s="6">
        <f t="shared" si="9"/>
        <v>14454.366891427653</v>
      </c>
      <c r="N47" s="6">
        <f t="shared" si="10"/>
        <v>6242355.6651473418</v>
      </c>
      <c r="O47" s="6">
        <f t="shared" si="11"/>
        <v>559937912.63848794</v>
      </c>
      <c r="P47" s="6">
        <f t="shared" si="12"/>
        <v>0</v>
      </c>
      <c r="Q47" s="6">
        <f t="shared" si="13"/>
        <v>559937912.63848794</v>
      </c>
      <c r="R47" s="6">
        <f t="shared" si="14"/>
        <v>-6242355.6651473418</v>
      </c>
      <c r="S47" s="6">
        <f t="shared" si="15"/>
        <v>0</v>
      </c>
      <c r="T47" s="6">
        <f t="shared" si="16"/>
        <v>0</v>
      </c>
      <c r="U47" s="6"/>
      <c r="V47">
        <v>26</v>
      </c>
      <c r="W47" s="6">
        <f t="shared" si="24"/>
        <v>553695556.9733398</v>
      </c>
      <c r="X47" s="6">
        <f t="shared" si="25"/>
        <v>6242355.6651472887</v>
      </c>
      <c r="Y47" s="6">
        <f t="shared" si="26"/>
        <v>559937912.6384871</v>
      </c>
      <c r="Z47" s="6">
        <v>0</v>
      </c>
      <c r="AA47" s="6">
        <f t="shared" si="27"/>
        <v>559937912.6384871</v>
      </c>
      <c r="AB47" s="6">
        <f t="shared" si="28"/>
        <v>-6242355.6651472887</v>
      </c>
      <c r="AC47" s="6">
        <f t="shared" si="17"/>
        <v>0</v>
      </c>
      <c r="AD47" s="6"/>
      <c r="AE47" s="6"/>
      <c r="AF47" s="6"/>
      <c r="AH47">
        <v>26</v>
      </c>
      <c r="AI47" s="6">
        <f t="shared" si="18"/>
        <v>862180.54960699857</v>
      </c>
      <c r="AJ47" s="4">
        <f t="shared" si="19"/>
        <v>6875.1487776356344</v>
      </c>
      <c r="AK47" s="6">
        <f t="shared" si="20"/>
        <v>869055.69838463422</v>
      </c>
      <c r="AL47" s="4">
        <f t="shared" si="21"/>
        <v>12977.546329505407</v>
      </c>
      <c r="AM47" s="6">
        <f t="shared" si="22"/>
        <v>856078.15205512883</v>
      </c>
      <c r="AN47" s="6">
        <f t="shared" si="23"/>
        <v>6102.3975518697725</v>
      </c>
    </row>
    <row r="48" spans="2:40" x14ac:dyDescent="0.25">
      <c r="B48">
        <v>27</v>
      </c>
      <c r="C48" s="6">
        <f t="shared" si="0"/>
        <v>1229374.3600057987</v>
      </c>
      <c r="D48" s="4">
        <f t="shared" si="1"/>
        <v>9803.2037863799305</v>
      </c>
      <c r="E48" s="6">
        <f t="shared" si="2"/>
        <v>1239177.5637921786</v>
      </c>
      <c r="F48" s="4">
        <v>0</v>
      </c>
      <c r="G48" s="6">
        <f t="shared" si="3"/>
        <v>1239177.5637921786</v>
      </c>
      <c r="H48" s="6">
        <f t="shared" si="4"/>
        <v>-9803.2037863799305</v>
      </c>
      <c r="I48" s="6">
        <f t="shared" si="5"/>
        <v>456.95682449079538</v>
      </c>
      <c r="J48" s="6">
        <f t="shared" si="6"/>
        <v>559937912.63848794</v>
      </c>
      <c r="K48" s="6">
        <f t="shared" si="7"/>
        <v>4465023.5468465509</v>
      </c>
      <c r="L48" s="6">
        <f t="shared" si="8"/>
        <v>1833091.0201660383</v>
      </c>
      <c r="M48" s="6">
        <f t="shared" si="9"/>
        <v>14617.325213766451</v>
      </c>
      <c r="N48" s="6">
        <f t="shared" si="10"/>
        <v>6312731.8922263561</v>
      </c>
      <c r="O48" s="6">
        <f t="shared" si="11"/>
        <v>566250644.53071427</v>
      </c>
      <c r="P48" s="6">
        <f t="shared" si="12"/>
        <v>0</v>
      </c>
      <c r="Q48" s="6">
        <f t="shared" si="13"/>
        <v>566250644.53071427</v>
      </c>
      <c r="R48" s="6">
        <f t="shared" si="14"/>
        <v>-6312731.8922263561</v>
      </c>
      <c r="S48" s="6">
        <f t="shared" si="15"/>
        <v>0</v>
      </c>
      <c r="T48" s="6">
        <f t="shared" si="16"/>
        <v>0</v>
      </c>
      <c r="U48" s="6"/>
      <c r="V48">
        <v>27</v>
      </c>
      <c r="W48" s="6">
        <f t="shared" si="24"/>
        <v>559937912.6384871</v>
      </c>
      <c r="X48" s="6">
        <f t="shared" si="25"/>
        <v>6312731.8922263021</v>
      </c>
      <c r="Y48" s="6">
        <f t="shared" si="26"/>
        <v>566250644.53071344</v>
      </c>
      <c r="Z48" s="6">
        <v>0</v>
      </c>
      <c r="AA48" s="6">
        <f t="shared" si="27"/>
        <v>566250644.53071344</v>
      </c>
      <c r="AB48" s="6">
        <f t="shared" si="28"/>
        <v>-6312731.8922263021</v>
      </c>
      <c r="AC48" s="6">
        <f t="shared" si="17"/>
        <v>0</v>
      </c>
      <c r="AD48" s="6"/>
      <c r="AE48" s="6"/>
      <c r="AF48" s="6"/>
      <c r="AH48">
        <v>27</v>
      </c>
      <c r="AI48" s="6">
        <f t="shared" si="18"/>
        <v>856078.15205512883</v>
      </c>
      <c r="AJ48" s="4">
        <f t="shared" si="19"/>
        <v>6826.487402604027</v>
      </c>
      <c r="AK48" s="6">
        <f t="shared" si="20"/>
        <v>862904.6394577329</v>
      </c>
      <c r="AL48" s="4">
        <f t="shared" si="21"/>
        <v>12977.546329505407</v>
      </c>
      <c r="AM48" s="6">
        <f t="shared" si="22"/>
        <v>849927.09312822751</v>
      </c>
      <c r="AN48" s="6">
        <f t="shared" si="23"/>
        <v>6151.0589269013799</v>
      </c>
    </row>
    <row r="49" spans="2:40" x14ac:dyDescent="0.25">
      <c r="B49">
        <v>28</v>
      </c>
      <c r="C49" s="6">
        <f t="shared" si="0"/>
        <v>1239177.5637921786</v>
      </c>
      <c r="D49" s="4">
        <f t="shared" si="1"/>
        <v>9881.3759100256848</v>
      </c>
      <c r="E49" s="6">
        <f t="shared" si="2"/>
        <v>1249058.9397022044</v>
      </c>
      <c r="F49" s="4">
        <v>0</v>
      </c>
      <c r="G49" s="6">
        <f t="shared" si="3"/>
        <v>1249058.9397022044</v>
      </c>
      <c r="H49" s="6">
        <f t="shared" si="4"/>
        <v>-9881.3759100256848</v>
      </c>
      <c r="I49" s="6">
        <f t="shared" si="5"/>
        <v>458.4527822258782</v>
      </c>
      <c r="J49" s="6">
        <f t="shared" si="6"/>
        <v>566250644.53071427</v>
      </c>
      <c r="K49" s="6">
        <f t="shared" si="7"/>
        <v>4515362.157445183</v>
      </c>
      <c r="L49" s="6">
        <f t="shared" si="8"/>
        <v>1853757.2616959754</v>
      </c>
      <c r="M49" s="6">
        <f t="shared" si="9"/>
        <v>14782.120725863813</v>
      </c>
      <c r="N49" s="6">
        <f t="shared" si="10"/>
        <v>6383901.5398670221</v>
      </c>
      <c r="O49" s="6">
        <f t="shared" si="11"/>
        <v>572634546.07058132</v>
      </c>
      <c r="P49" s="6">
        <f t="shared" si="12"/>
        <v>0</v>
      </c>
      <c r="Q49" s="6">
        <f t="shared" si="13"/>
        <v>572634546.07058132</v>
      </c>
      <c r="R49" s="6">
        <f t="shared" si="14"/>
        <v>-6383901.5398670221</v>
      </c>
      <c r="S49" s="6">
        <f t="shared" si="15"/>
        <v>0</v>
      </c>
      <c r="T49" s="6">
        <f t="shared" si="16"/>
        <v>0</v>
      </c>
      <c r="U49" s="6"/>
      <c r="V49">
        <v>28</v>
      </c>
      <c r="W49" s="6">
        <f t="shared" si="24"/>
        <v>566250644.53071344</v>
      </c>
      <c r="X49" s="6">
        <f t="shared" si="25"/>
        <v>6383901.5398669681</v>
      </c>
      <c r="Y49" s="6">
        <f t="shared" si="26"/>
        <v>572634546.07058036</v>
      </c>
      <c r="Z49" s="6">
        <v>0</v>
      </c>
      <c r="AA49" s="6">
        <f t="shared" si="27"/>
        <v>572634546.07058036</v>
      </c>
      <c r="AB49" s="6">
        <f t="shared" si="28"/>
        <v>-6383901.5398669681</v>
      </c>
      <c r="AC49" s="6">
        <f t="shared" si="17"/>
        <v>0</v>
      </c>
      <c r="AD49" s="6"/>
      <c r="AE49" s="6"/>
      <c r="AF49" s="6"/>
      <c r="AH49">
        <v>28</v>
      </c>
      <c r="AI49" s="6">
        <f t="shared" si="18"/>
        <v>849927.09312822751</v>
      </c>
      <c r="AJ49" s="4">
        <f t="shared" si="19"/>
        <v>6777.4379949344539</v>
      </c>
      <c r="AK49" s="6">
        <f t="shared" si="20"/>
        <v>856704.53112316201</v>
      </c>
      <c r="AL49" s="4">
        <f t="shared" si="21"/>
        <v>12977.546329505407</v>
      </c>
      <c r="AM49" s="6">
        <f t="shared" si="22"/>
        <v>843726.98479365662</v>
      </c>
      <c r="AN49" s="6">
        <f t="shared" si="23"/>
        <v>6200.108334570953</v>
      </c>
    </row>
    <row r="50" spans="2:40" x14ac:dyDescent="0.25">
      <c r="B50">
        <v>29</v>
      </c>
      <c r="C50" s="6">
        <f t="shared" si="0"/>
        <v>1249058.9397022044</v>
      </c>
      <c r="D50" s="4">
        <f t="shared" si="1"/>
        <v>9960.171389163017</v>
      </c>
      <c r="E50" s="6">
        <f t="shared" si="2"/>
        <v>1259019.1110913674</v>
      </c>
      <c r="F50" s="4">
        <v>0</v>
      </c>
      <c r="G50" s="6">
        <f t="shared" si="3"/>
        <v>1259019.1110913674</v>
      </c>
      <c r="H50" s="6">
        <f t="shared" si="4"/>
        <v>-9960.171389163017</v>
      </c>
      <c r="I50" s="6">
        <f t="shared" si="5"/>
        <v>459.95363733731085</v>
      </c>
      <c r="J50" s="6">
        <f t="shared" si="6"/>
        <v>572634546.07058132</v>
      </c>
      <c r="K50" s="6">
        <f t="shared" si="7"/>
        <v>4566268.2848083777</v>
      </c>
      <c r="L50" s="6">
        <f t="shared" si="8"/>
        <v>1874656.4941326792</v>
      </c>
      <c r="M50" s="6">
        <f t="shared" si="9"/>
        <v>14948.77414017039</v>
      </c>
      <c r="N50" s="6">
        <f t="shared" si="10"/>
        <v>6455873.5530812275</v>
      </c>
      <c r="O50" s="6">
        <f t="shared" si="11"/>
        <v>579090419.62366259</v>
      </c>
      <c r="P50" s="6">
        <f t="shared" si="12"/>
        <v>0</v>
      </c>
      <c r="Q50" s="6">
        <f t="shared" si="13"/>
        <v>579090419.62366259</v>
      </c>
      <c r="R50" s="6">
        <f t="shared" si="14"/>
        <v>-6455873.5530812275</v>
      </c>
      <c r="S50" s="6">
        <f t="shared" si="15"/>
        <v>0</v>
      </c>
      <c r="T50" s="6">
        <f t="shared" si="16"/>
        <v>0</v>
      </c>
      <c r="U50" s="6"/>
      <c r="V50">
        <v>29</v>
      </c>
      <c r="W50" s="6">
        <f t="shared" si="24"/>
        <v>572634546.07058036</v>
      </c>
      <c r="X50" s="6">
        <f t="shared" si="25"/>
        <v>6455873.5530811716</v>
      </c>
      <c r="Y50" s="6">
        <f t="shared" si="26"/>
        <v>579090419.62366152</v>
      </c>
      <c r="Z50" s="6">
        <v>0</v>
      </c>
      <c r="AA50" s="6">
        <f t="shared" si="27"/>
        <v>579090419.62366152</v>
      </c>
      <c r="AB50" s="6">
        <f t="shared" si="28"/>
        <v>-6455873.5530811716</v>
      </c>
      <c r="AC50" s="6">
        <f t="shared" si="17"/>
        <v>0</v>
      </c>
      <c r="AD50" s="6"/>
      <c r="AE50" s="6"/>
      <c r="AF50" s="6"/>
      <c r="AH50">
        <v>29</v>
      </c>
      <c r="AI50" s="6">
        <f t="shared" si="18"/>
        <v>843726.98479365662</v>
      </c>
      <c r="AJ50" s="4">
        <f t="shared" si="19"/>
        <v>6727.9974604001691</v>
      </c>
      <c r="AK50" s="6">
        <f t="shared" si="20"/>
        <v>850454.98225405684</v>
      </c>
      <c r="AL50" s="4">
        <f t="shared" si="21"/>
        <v>12977.546329505407</v>
      </c>
      <c r="AM50" s="6">
        <f t="shared" si="22"/>
        <v>837477.43592455145</v>
      </c>
      <c r="AN50" s="6">
        <f t="shared" si="23"/>
        <v>6249.5488691052378</v>
      </c>
    </row>
    <row r="51" spans="2:40" x14ac:dyDescent="0.25">
      <c r="B51">
        <v>30</v>
      </c>
      <c r="C51" s="6">
        <f t="shared" si="0"/>
        <v>1259019.1110913674</v>
      </c>
      <c r="D51" s="4">
        <f t="shared" si="1"/>
        <v>10039.595194516152</v>
      </c>
      <c r="E51" s="6">
        <f t="shared" si="2"/>
        <v>1269058.7062858837</v>
      </c>
      <c r="F51" s="4">
        <v>0</v>
      </c>
      <c r="G51" s="6">
        <f t="shared" si="3"/>
        <v>1269058.7062858837</v>
      </c>
      <c r="H51" s="6">
        <f t="shared" si="4"/>
        <v>-10039.595194516152</v>
      </c>
      <c r="I51" s="6">
        <f t="shared" si="5"/>
        <v>461.4594058578291</v>
      </c>
      <c r="J51" s="6">
        <f t="shared" si="6"/>
        <v>579090419.62366259</v>
      </c>
      <c r="K51" s="6">
        <f t="shared" si="7"/>
        <v>4617748.3271118933</v>
      </c>
      <c r="L51" s="6">
        <f t="shared" si="8"/>
        <v>1895791.3442122471</v>
      </c>
      <c r="M51" s="6">
        <f t="shared" si="9"/>
        <v>15117.306402648692</v>
      </c>
      <c r="N51" s="6">
        <f t="shared" si="10"/>
        <v>6528656.9777267892</v>
      </c>
      <c r="O51" s="6">
        <f t="shared" si="11"/>
        <v>585619076.60138941</v>
      </c>
      <c r="P51" s="6">
        <f t="shared" si="12"/>
        <v>0</v>
      </c>
      <c r="Q51" s="6">
        <f t="shared" si="13"/>
        <v>585619076.60138941</v>
      </c>
      <c r="R51" s="6">
        <f t="shared" si="14"/>
        <v>-6528656.9777267892</v>
      </c>
      <c r="S51" s="6">
        <f t="shared" si="15"/>
        <v>0</v>
      </c>
      <c r="T51" s="6">
        <f t="shared" si="16"/>
        <v>0</v>
      </c>
      <c r="U51" s="6"/>
      <c r="V51">
        <v>30</v>
      </c>
      <c r="W51" s="6">
        <f t="shared" si="24"/>
        <v>579090419.62366152</v>
      </c>
      <c r="X51" s="6">
        <f t="shared" si="25"/>
        <v>6528656.9777267314</v>
      </c>
      <c r="Y51" s="6">
        <f t="shared" si="26"/>
        <v>585619076.60138822</v>
      </c>
      <c r="Z51" s="6">
        <v>0</v>
      </c>
      <c r="AA51" s="6">
        <f t="shared" si="27"/>
        <v>585619076.60138822</v>
      </c>
      <c r="AB51" s="6">
        <f t="shared" si="28"/>
        <v>-6528656.9777267314</v>
      </c>
      <c r="AC51" s="6">
        <f t="shared" si="17"/>
        <v>0</v>
      </c>
      <c r="AD51" s="6"/>
      <c r="AE51" s="6"/>
      <c r="AF51" s="6"/>
      <c r="AH51">
        <v>30</v>
      </c>
      <c r="AI51" s="6">
        <f t="shared" si="18"/>
        <v>837477.43592455145</v>
      </c>
      <c r="AJ51" s="4">
        <f t="shared" si="19"/>
        <v>6678.1626801006278</v>
      </c>
      <c r="AK51" s="6">
        <f t="shared" si="20"/>
        <v>844155.5986046521</v>
      </c>
      <c r="AL51" s="4">
        <f t="shared" si="21"/>
        <v>12977.546329505407</v>
      </c>
      <c r="AM51" s="6">
        <f t="shared" si="22"/>
        <v>831178.05227514671</v>
      </c>
      <c r="AN51" s="6">
        <f t="shared" si="23"/>
        <v>6299.3836494047791</v>
      </c>
    </row>
    <row r="52" spans="2:40" x14ac:dyDescent="0.25">
      <c r="B52">
        <v>31</v>
      </c>
      <c r="C52" s="6">
        <f t="shared" si="0"/>
        <v>1269058.7062858837</v>
      </c>
      <c r="D52" s="4">
        <f t="shared" si="1"/>
        <v>10119.652336446572</v>
      </c>
      <c r="E52" s="6">
        <f t="shared" si="2"/>
        <v>1279178.3586223302</v>
      </c>
      <c r="F52" s="4">
        <v>0</v>
      </c>
      <c r="G52" s="6">
        <f t="shared" si="3"/>
        <v>1279178.3586223302</v>
      </c>
      <c r="H52" s="6">
        <f t="shared" si="4"/>
        <v>-10119.652336446572</v>
      </c>
      <c r="I52" s="6">
        <f t="shared" si="5"/>
        <v>462.97010387265573</v>
      </c>
      <c r="J52" s="6">
        <f t="shared" si="6"/>
        <v>585619076.60138941</v>
      </c>
      <c r="K52" s="6">
        <f t="shared" si="7"/>
        <v>4669808.7546644295</v>
      </c>
      <c r="L52" s="6">
        <f t="shared" si="8"/>
        <v>1917164.468284562</v>
      </c>
      <c r="M52" s="6">
        <f t="shared" si="9"/>
        <v>15287.738695405713</v>
      </c>
      <c r="N52" s="6">
        <f t="shared" si="10"/>
        <v>6602260.9616443971</v>
      </c>
      <c r="O52" s="6">
        <f t="shared" si="11"/>
        <v>592221337.56303382</v>
      </c>
      <c r="P52" s="6">
        <f t="shared" si="12"/>
        <v>0</v>
      </c>
      <c r="Q52" s="6">
        <f t="shared" si="13"/>
        <v>592221337.56303382</v>
      </c>
      <c r="R52" s="6">
        <f t="shared" si="14"/>
        <v>-6602260.9616443971</v>
      </c>
      <c r="S52" s="6">
        <f t="shared" si="15"/>
        <v>0</v>
      </c>
      <c r="T52" s="6">
        <f t="shared" si="16"/>
        <v>0</v>
      </c>
      <c r="U52" s="6"/>
      <c r="V52">
        <v>31</v>
      </c>
      <c r="W52" s="6">
        <f t="shared" si="24"/>
        <v>585619076.60138822</v>
      </c>
      <c r="X52" s="6">
        <f t="shared" si="25"/>
        <v>6602260.9616443375</v>
      </c>
      <c r="Y52" s="6">
        <f t="shared" si="26"/>
        <v>592221337.56303251</v>
      </c>
      <c r="Z52" s="6">
        <v>0</v>
      </c>
      <c r="AA52" s="6">
        <f t="shared" si="27"/>
        <v>592221337.56303251</v>
      </c>
      <c r="AB52" s="6">
        <f t="shared" si="28"/>
        <v>-6602260.9616443375</v>
      </c>
      <c r="AC52" s="6">
        <f t="shared" si="17"/>
        <v>0</v>
      </c>
      <c r="AD52" s="6"/>
      <c r="AE52" s="6"/>
      <c r="AF52" s="6"/>
      <c r="AH52">
        <v>31</v>
      </c>
      <c r="AI52" s="6">
        <f t="shared" si="18"/>
        <v>831178.05227514671</v>
      </c>
      <c r="AJ52" s="4">
        <f t="shared" si="19"/>
        <v>6627.930510264734</v>
      </c>
      <c r="AK52" s="6">
        <f t="shared" si="20"/>
        <v>837805.98278541141</v>
      </c>
      <c r="AL52" s="4">
        <f t="shared" si="21"/>
        <v>12977.546329505407</v>
      </c>
      <c r="AM52" s="6">
        <f t="shared" si="22"/>
        <v>824828.43645590602</v>
      </c>
      <c r="AN52" s="6">
        <f t="shared" si="23"/>
        <v>6349.6158192406729</v>
      </c>
    </row>
    <row r="53" spans="2:40" x14ac:dyDescent="0.25">
      <c r="B53">
        <v>32</v>
      </c>
      <c r="C53" s="6">
        <f t="shared" si="0"/>
        <v>1279178.3586223302</v>
      </c>
      <c r="D53" s="4">
        <f t="shared" si="1"/>
        <v>10200.347865269081</v>
      </c>
      <c r="E53" s="6">
        <f t="shared" si="2"/>
        <v>1289378.7064875993</v>
      </c>
      <c r="F53" s="4">
        <v>0</v>
      </c>
      <c r="G53" s="6">
        <f t="shared" si="3"/>
        <v>1289378.7064875993</v>
      </c>
      <c r="H53" s="6">
        <f t="shared" si="4"/>
        <v>-10200.347865269081</v>
      </c>
      <c r="I53" s="6">
        <f t="shared" si="5"/>
        <v>464.48574751967243</v>
      </c>
      <c r="J53" s="6">
        <f t="shared" si="6"/>
        <v>592221337.56303382</v>
      </c>
      <c r="K53" s="6">
        <f t="shared" si="7"/>
        <v>4722456.1107208515</v>
      </c>
      <c r="L53" s="6">
        <f t="shared" si="8"/>
        <v>1938778.5526471562</v>
      </c>
      <c r="M53" s="6">
        <f t="shared" si="9"/>
        <v>15460.092439355212</v>
      </c>
      <c r="N53" s="6">
        <f t="shared" si="10"/>
        <v>6676694.7558073625</v>
      </c>
      <c r="O53" s="6">
        <f t="shared" si="11"/>
        <v>598898032.31884122</v>
      </c>
      <c r="P53" s="6">
        <f t="shared" si="12"/>
        <v>0</v>
      </c>
      <c r="Q53" s="6">
        <f t="shared" si="13"/>
        <v>598898032.31884122</v>
      </c>
      <c r="R53" s="6">
        <f t="shared" si="14"/>
        <v>-6676694.7558073625</v>
      </c>
      <c r="S53" s="6">
        <f t="shared" si="15"/>
        <v>0</v>
      </c>
      <c r="T53" s="6">
        <f t="shared" si="16"/>
        <v>0</v>
      </c>
      <c r="U53" s="6"/>
      <c r="V53">
        <v>32</v>
      </c>
      <c r="W53" s="6">
        <f t="shared" si="24"/>
        <v>592221337.56303251</v>
      </c>
      <c r="X53" s="6">
        <f t="shared" si="25"/>
        <v>6676694.755807301</v>
      </c>
      <c r="Y53" s="6">
        <f t="shared" si="26"/>
        <v>598898032.31883979</v>
      </c>
      <c r="Z53" s="6">
        <v>0</v>
      </c>
      <c r="AA53" s="6">
        <f t="shared" si="27"/>
        <v>598898032.31883979</v>
      </c>
      <c r="AB53" s="6">
        <f t="shared" si="28"/>
        <v>-6676694.755807301</v>
      </c>
      <c r="AC53" s="6">
        <f t="shared" si="17"/>
        <v>0</v>
      </c>
      <c r="AD53" s="6"/>
      <c r="AE53" s="6"/>
      <c r="AF53" s="6"/>
      <c r="AH53">
        <v>32</v>
      </c>
      <c r="AI53" s="6">
        <f t="shared" si="18"/>
        <v>824828.43645590602</v>
      </c>
      <c r="AJ53" s="4">
        <f t="shared" si="19"/>
        <v>6577.2977820525193</v>
      </c>
      <c r="AK53" s="6">
        <f t="shared" si="20"/>
        <v>831405.73423795856</v>
      </c>
      <c r="AL53" s="4">
        <f t="shared" si="21"/>
        <v>12977.546329505407</v>
      </c>
      <c r="AM53" s="6">
        <f t="shared" si="22"/>
        <v>818428.18790845317</v>
      </c>
      <c r="AN53" s="6">
        <f t="shared" si="23"/>
        <v>6400.2485474528876</v>
      </c>
    </row>
    <row r="54" spans="2:40" x14ac:dyDescent="0.25">
      <c r="B54">
        <v>33</v>
      </c>
      <c r="C54" s="6">
        <f t="shared" si="0"/>
        <v>1289378.7064875993</v>
      </c>
      <c r="D54" s="4">
        <f t="shared" si="1"/>
        <v>10281.686871570406</v>
      </c>
      <c r="E54" s="6">
        <f t="shared" si="2"/>
        <v>1299660.3933591696</v>
      </c>
      <c r="F54" s="4">
        <v>0</v>
      </c>
      <c r="G54" s="6">
        <f t="shared" si="3"/>
        <v>1299660.3933591696</v>
      </c>
      <c r="H54" s="6">
        <f t="shared" si="4"/>
        <v>-10281.686871570406</v>
      </c>
      <c r="I54" s="6">
        <f t="shared" si="5"/>
        <v>466.00635298959196</v>
      </c>
      <c r="J54" s="6">
        <f t="shared" si="6"/>
        <v>598898032.31884122</v>
      </c>
      <c r="K54" s="6">
        <f t="shared" si="7"/>
        <v>4775697.0123045854</v>
      </c>
      <c r="L54" s="6">
        <f t="shared" si="8"/>
        <v>1960636.3138828417</v>
      </c>
      <c r="M54" s="6">
        <f t="shared" si="9"/>
        <v>15634.38929691002</v>
      </c>
      <c r="N54" s="6">
        <f t="shared" si="10"/>
        <v>6751967.7154843369</v>
      </c>
      <c r="O54" s="6">
        <f t="shared" si="11"/>
        <v>605650000.0343256</v>
      </c>
      <c r="P54" s="6">
        <f t="shared" si="12"/>
        <v>0</v>
      </c>
      <c r="Q54" s="6">
        <f t="shared" si="13"/>
        <v>605650000.0343256</v>
      </c>
      <c r="R54" s="6">
        <f t="shared" si="14"/>
        <v>-6751967.7154843369</v>
      </c>
      <c r="S54" s="6">
        <f t="shared" si="15"/>
        <v>0</v>
      </c>
      <c r="T54" s="6">
        <f t="shared" si="16"/>
        <v>0</v>
      </c>
      <c r="U54" s="6"/>
      <c r="V54">
        <v>33</v>
      </c>
      <c r="W54" s="6">
        <f t="shared" si="24"/>
        <v>598898032.31883979</v>
      </c>
      <c r="X54" s="6">
        <f t="shared" si="25"/>
        <v>6751967.7154842736</v>
      </c>
      <c r="Y54" s="6">
        <f t="shared" si="26"/>
        <v>605650000.03432405</v>
      </c>
      <c r="Z54" s="6">
        <v>0</v>
      </c>
      <c r="AA54" s="6">
        <f t="shared" si="27"/>
        <v>605650000.03432405</v>
      </c>
      <c r="AB54" s="6">
        <f t="shared" si="28"/>
        <v>-6751967.7154842736</v>
      </c>
      <c r="AC54" s="6">
        <f t="shared" si="17"/>
        <v>0</v>
      </c>
      <c r="AD54" s="6"/>
      <c r="AE54" s="6"/>
      <c r="AF54" s="6"/>
      <c r="AH54">
        <v>33</v>
      </c>
      <c r="AI54" s="6">
        <f t="shared" si="18"/>
        <v>818428.18790845317</v>
      </c>
      <c r="AJ54" s="4">
        <f t="shared" si="19"/>
        <v>6526.2613013552436</v>
      </c>
      <c r="AK54" s="6">
        <f t="shared" si="20"/>
        <v>824954.44920980837</v>
      </c>
      <c r="AL54" s="4">
        <f t="shared" si="21"/>
        <v>12977.546329505407</v>
      </c>
      <c r="AM54" s="6">
        <f t="shared" si="22"/>
        <v>811976.90288030298</v>
      </c>
      <c r="AN54" s="6">
        <f t="shared" si="23"/>
        <v>6451.2850281501633</v>
      </c>
    </row>
    <row r="55" spans="2:40" x14ac:dyDescent="0.25">
      <c r="B55">
        <v>34</v>
      </c>
      <c r="C55" s="6">
        <f t="shared" si="0"/>
        <v>1299660.3933591696</v>
      </c>
      <c r="D55" s="4">
        <f t="shared" si="1"/>
        <v>10363.674486530324</v>
      </c>
      <c r="E55" s="6">
        <f t="shared" si="2"/>
        <v>1310024.0678456998</v>
      </c>
      <c r="F55" s="4">
        <v>0</v>
      </c>
      <c r="G55" s="6">
        <f t="shared" si="3"/>
        <v>1310024.0678456998</v>
      </c>
      <c r="H55" s="6">
        <f t="shared" si="4"/>
        <v>-10363.674486530324</v>
      </c>
      <c r="I55" s="6">
        <f t="shared" si="5"/>
        <v>467.5319365261314</v>
      </c>
      <c r="J55" s="6">
        <f t="shared" si="6"/>
        <v>605650000.0343256</v>
      </c>
      <c r="K55" s="6">
        <f t="shared" si="7"/>
        <v>4829538.1510392819</v>
      </c>
      <c r="L55" s="6">
        <f t="shared" si="8"/>
        <v>1982740.4992011457</v>
      </c>
      <c r="M55" s="6">
        <f t="shared" si="9"/>
        <v>15810.651174704686</v>
      </c>
      <c r="N55" s="6">
        <f t="shared" si="10"/>
        <v>6828089.3014151324</v>
      </c>
      <c r="O55" s="6">
        <f t="shared" si="11"/>
        <v>612478089.33574069</v>
      </c>
      <c r="P55" s="6">
        <f t="shared" si="12"/>
        <v>0</v>
      </c>
      <c r="Q55" s="6">
        <f t="shared" si="13"/>
        <v>612478089.33574069</v>
      </c>
      <c r="R55" s="6">
        <f t="shared" si="14"/>
        <v>-6828089.3014151324</v>
      </c>
      <c r="S55" s="6">
        <f t="shared" si="15"/>
        <v>0</v>
      </c>
      <c r="T55" s="6">
        <f t="shared" si="16"/>
        <v>0</v>
      </c>
      <c r="U55" s="6"/>
      <c r="V55">
        <v>34</v>
      </c>
      <c r="W55" s="6">
        <f t="shared" si="24"/>
        <v>605650000.03432405</v>
      </c>
      <c r="X55" s="6">
        <f t="shared" si="25"/>
        <v>6828089.3014150672</v>
      </c>
      <c r="Y55" s="6">
        <f t="shared" si="26"/>
        <v>612478089.33573914</v>
      </c>
      <c r="Z55" s="6">
        <v>0</v>
      </c>
      <c r="AA55" s="6">
        <f t="shared" si="27"/>
        <v>612478089.33573914</v>
      </c>
      <c r="AB55" s="6">
        <f t="shared" si="28"/>
        <v>-6828089.3014150672</v>
      </c>
      <c r="AC55" s="6">
        <f t="shared" si="17"/>
        <v>0</v>
      </c>
      <c r="AD55" s="6"/>
      <c r="AE55" s="6"/>
      <c r="AF55" s="6"/>
      <c r="AH55">
        <v>34</v>
      </c>
      <c r="AI55" s="6">
        <f t="shared" si="18"/>
        <v>811976.90288030298</v>
      </c>
      <c r="AJ55" s="4">
        <f t="shared" si="19"/>
        <v>6474.8178485938897</v>
      </c>
      <c r="AK55" s="6">
        <f t="shared" si="20"/>
        <v>818451.72072889691</v>
      </c>
      <c r="AL55" s="4">
        <f t="shared" si="21"/>
        <v>12977.546329505407</v>
      </c>
      <c r="AM55" s="6">
        <f t="shared" si="22"/>
        <v>805474.17439939152</v>
      </c>
      <c r="AN55" s="6">
        <f t="shared" si="23"/>
        <v>6502.7284809115172</v>
      </c>
    </row>
    <row r="56" spans="2:40" x14ac:dyDescent="0.25">
      <c r="B56">
        <v>35</v>
      </c>
      <c r="C56" s="6">
        <f t="shared" si="0"/>
        <v>1310024.0678456998</v>
      </c>
      <c r="D56" s="4">
        <f t="shared" si="1"/>
        <v>10446.315882245362</v>
      </c>
      <c r="E56" s="6">
        <f t="shared" si="2"/>
        <v>1320470.3837279452</v>
      </c>
      <c r="F56" s="4">
        <v>0</v>
      </c>
      <c r="G56" s="6">
        <f t="shared" si="3"/>
        <v>1320470.3837279452</v>
      </c>
      <c r="H56" s="6">
        <f t="shared" si="4"/>
        <v>-10446.315882245362</v>
      </c>
      <c r="I56" s="6">
        <f t="shared" si="5"/>
        <v>469.06251442618549</v>
      </c>
      <c r="J56" s="6">
        <f t="shared" si="6"/>
        <v>612478089.33574069</v>
      </c>
      <c r="K56" s="6">
        <f t="shared" si="7"/>
        <v>4883986.2939898614</v>
      </c>
      <c r="L56" s="6">
        <f t="shared" si="8"/>
        <v>2005093.886783595</v>
      </c>
      <c r="M56" s="6">
        <f t="shared" si="9"/>
        <v>15988.900226348853</v>
      </c>
      <c r="N56" s="6">
        <f t="shared" si="10"/>
        <v>6905069.0809998056</v>
      </c>
      <c r="O56" s="6">
        <f t="shared" si="11"/>
        <v>619383158.41674054</v>
      </c>
      <c r="P56" s="6">
        <f t="shared" si="12"/>
        <v>0</v>
      </c>
      <c r="Q56" s="6">
        <f t="shared" si="13"/>
        <v>619383158.41674054</v>
      </c>
      <c r="R56" s="6">
        <f t="shared" si="14"/>
        <v>-6905069.0809998056</v>
      </c>
      <c r="S56" s="6">
        <f t="shared" si="15"/>
        <v>0</v>
      </c>
      <c r="T56" s="6">
        <f t="shared" si="16"/>
        <v>0</v>
      </c>
      <c r="U56" s="6"/>
      <c r="V56">
        <v>35</v>
      </c>
      <c r="W56" s="6">
        <f t="shared" si="24"/>
        <v>612478089.33573914</v>
      </c>
      <c r="X56" s="6">
        <f t="shared" si="25"/>
        <v>6905069.0809997395</v>
      </c>
      <c r="Y56" s="6">
        <f t="shared" si="26"/>
        <v>619383158.41673887</v>
      </c>
      <c r="Z56" s="6">
        <v>0</v>
      </c>
      <c r="AA56" s="6">
        <f t="shared" si="27"/>
        <v>619383158.41673887</v>
      </c>
      <c r="AB56" s="6">
        <f t="shared" si="28"/>
        <v>-6905069.0809997395</v>
      </c>
      <c r="AC56" s="6">
        <f t="shared" si="17"/>
        <v>0</v>
      </c>
      <c r="AD56" s="6"/>
      <c r="AE56" s="6"/>
      <c r="AF56" s="6"/>
      <c r="AH56">
        <v>35</v>
      </c>
      <c r="AI56" s="6">
        <f t="shared" si="18"/>
        <v>805474.17439939152</v>
      </c>
      <c r="AJ56" s="4">
        <f t="shared" si="19"/>
        <v>6422.9641785160693</v>
      </c>
      <c r="AK56" s="6">
        <f t="shared" si="20"/>
        <v>811897.13857790758</v>
      </c>
      <c r="AL56" s="4">
        <f t="shared" si="21"/>
        <v>12977.546329505407</v>
      </c>
      <c r="AM56" s="6">
        <f t="shared" si="22"/>
        <v>798919.59224840219</v>
      </c>
      <c r="AN56" s="6">
        <f t="shared" si="23"/>
        <v>6554.5821509893376</v>
      </c>
    </row>
    <row r="57" spans="2:40" x14ac:dyDescent="0.25">
      <c r="B57">
        <v>36</v>
      </c>
      <c r="C57" s="6">
        <f t="shared" si="0"/>
        <v>1320470.3837279452</v>
      </c>
      <c r="D57" s="4">
        <f t="shared" si="1"/>
        <v>10529.616272055075</v>
      </c>
      <c r="E57" s="6">
        <f t="shared" si="2"/>
        <v>1331000.0000000002</v>
      </c>
      <c r="F57" s="4">
        <v>0</v>
      </c>
      <c r="G57" s="6">
        <f t="shared" si="3"/>
        <v>1331000.0000000002</v>
      </c>
      <c r="H57" s="6">
        <f t="shared" si="4"/>
        <v>-10529.616272055075</v>
      </c>
      <c r="I57" s="6">
        <f t="shared" si="5"/>
        <v>470.59810304000075</v>
      </c>
      <c r="J57" s="6">
        <f t="shared" si="6"/>
        <v>619383158.41674054</v>
      </c>
      <c r="K57" s="6">
        <f t="shared" si="7"/>
        <v>4939048.2845130358</v>
      </c>
      <c r="L57" s="6">
        <f t="shared" si="8"/>
        <v>2027699.2861328959</v>
      </c>
      <c r="M57" s="6">
        <f t="shared" si="9"/>
        <v>16169.158855211628</v>
      </c>
      <c r="N57" s="6">
        <f t="shared" si="10"/>
        <v>6982916.7295011431</v>
      </c>
      <c r="O57" s="6">
        <f t="shared" si="11"/>
        <v>626366075.14624166</v>
      </c>
      <c r="P57" s="6">
        <f t="shared" si="12"/>
        <v>0</v>
      </c>
      <c r="Q57" s="6">
        <f t="shared" si="13"/>
        <v>626366075.14624166</v>
      </c>
      <c r="R57" s="6">
        <f t="shared" si="14"/>
        <v>-6982916.7295011431</v>
      </c>
      <c r="S57" s="6">
        <f t="shared" si="15"/>
        <v>0</v>
      </c>
      <c r="T57" s="6">
        <f t="shared" si="16"/>
        <v>0</v>
      </c>
      <c r="U57" s="6"/>
      <c r="V57">
        <v>36</v>
      </c>
      <c r="W57" s="6">
        <f t="shared" si="24"/>
        <v>619383158.41673887</v>
      </c>
      <c r="X57" s="6">
        <f t="shared" si="25"/>
        <v>6982916.7295010751</v>
      </c>
      <c r="Y57" s="6">
        <f t="shared" si="26"/>
        <v>626366075.14624</v>
      </c>
      <c r="Z57" s="6">
        <v>0</v>
      </c>
      <c r="AA57" s="6">
        <f t="shared" si="27"/>
        <v>626366075.14624</v>
      </c>
      <c r="AB57" s="6">
        <f t="shared" si="28"/>
        <v>-6982916.7295010751</v>
      </c>
      <c r="AC57" s="6">
        <f t="shared" si="17"/>
        <v>0</v>
      </c>
      <c r="AD57" s="6"/>
      <c r="AE57" s="6"/>
      <c r="AF57" s="6"/>
      <c r="AH57">
        <v>36</v>
      </c>
      <c r="AI57" s="6">
        <f t="shared" si="18"/>
        <v>798919.59224840219</v>
      </c>
      <c r="AJ57" s="4">
        <f t="shared" si="19"/>
        <v>6370.6970199912939</v>
      </c>
      <c r="AK57" s="6">
        <f t="shared" si="20"/>
        <v>805290.28926839354</v>
      </c>
      <c r="AL57" s="4">
        <f t="shared" si="21"/>
        <v>12977.546329505407</v>
      </c>
      <c r="AM57" s="6">
        <f t="shared" si="22"/>
        <v>792312.74293888814</v>
      </c>
      <c r="AN57" s="6">
        <f t="shared" si="23"/>
        <v>6606.849309514113</v>
      </c>
    </row>
    <row r="58" spans="2:40" s="11" customFormat="1" x14ac:dyDescent="0.25">
      <c r="B58" s="11">
        <v>37</v>
      </c>
      <c r="C58" s="16">
        <f t="shared" ref="C58" si="29">+G57</f>
        <v>1331000.0000000002</v>
      </c>
      <c r="D58" s="7">
        <f t="shared" si="1"/>
        <v>10613.580910870913</v>
      </c>
      <c r="E58" s="16">
        <f t="shared" ref="E58" si="30">+C58+D58</f>
        <v>1341613.580910871</v>
      </c>
      <c r="F58" s="7">
        <f>+$F$15</f>
        <v>21800.878906101399</v>
      </c>
      <c r="G58" s="16">
        <f t="shared" ref="G58" si="31">+E58-F58</f>
        <v>1319812.7020047696</v>
      </c>
      <c r="H58" s="16">
        <f t="shared" ref="H58" si="32">+F58-D58</f>
        <v>11187.297995230487</v>
      </c>
      <c r="I58" s="16">
        <f t="shared" si="5"/>
        <v>472.13871877135017</v>
      </c>
      <c r="J58" s="16">
        <f t="shared" si="6"/>
        <v>626366075.14624166</v>
      </c>
      <c r="K58" s="16">
        <f t="shared" si="7"/>
        <v>4994731.0431174189</v>
      </c>
      <c r="L58" s="16">
        <f t="shared" si="8"/>
        <v>2050559.538426046</v>
      </c>
      <c r="M58" s="16">
        <f t="shared" si="9"/>
        <v>16351.449717237376</v>
      </c>
      <c r="N58" s="16">
        <f t="shared" si="10"/>
        <v>7061642.0312607028</v>
      </c>
      <c r="O58" s="16">
        <f t="shared" si="11"/>
        <v>633427717.17750239</v>
      </c>
      <c r="P58" s="17">
        <f t="shared" si="12"/>
        <v>10293039.03481607</v>
      </c>
      <c r="Q58" s="16">
        <f t="shared" si="13"/>
        <v>623134678.14268637</v>
      </c>
      <c r="R58" s="16">
        <f t="shared" si="14"/>
        <v>3231397.0035553668</v>
      </c>
      <c r="S58" s="16">
        <f t="shared" si="15"/>
        <v>-21800.878906101399</v>
      </c>
      <c r="T58" s="16">
        <f t="shared" si="16"/>
        <v>-10293039.03481607</v>
      </c>
      <c r="U58" s="16"/>
      <c r="V58" s="11">
        <v>37</v>
      </c>
      <c r="W58" s="16">
        <f t="shared" si="24"/>
        <v>626366075.14624</v>
      </c>
      <c r="X58" s="16">
        <f t="shared" si="25"/>
        <v>7061642.0312606338</v>
      </c>
      <c r="Y58" s="16">
        <f t="shared" si="26"/>
        <v>633427717.17750061</v>
      </c>
      <c r="Z58" s="17">
        <f>+$Z$13</f>
        <v>11575665.239051715</v>
      </c>
      <c r="AA58" s="16">
        <f t="shared" si="27"/>
        <v>621852051.93844891</v>
      </c>
      <c r="AB58" s="16">
        <f t="shared" si="28"/>
        <v>4514023.2077910807</v>
      </c>
      <c r="AC58" s="16">
        <f t="shared" si="17"/>
        <v>-10293039.03481607</v>
      </c>
      <c r="AD58" s="16"/>
      <c r="AE58" s="16"/>
      <c r="AF58" s="16"/>
      <c r="AH58" s="11">
        <v>37</v>
      </c>
      <c r="AI58" s="16">
        <f t="shared" si="18"/>
        <v>792312.74293888814</v>
      </c>
      <c r="AJ58" s="7">
        <f t="shared" si="19"/>
        <v>6318.0130758046234</v>
      </c>
      <c r="AK58" s="16">
        <f t="shared" si="20"/>
        <v>798630.75601469271</v>
      </c>
      <c r="AL58" s="7">
        <f t="shared" si="21"/>
        <v>12977.546329505407</v>
      </c>
      <c r="AM58" s="16">
        <f t="shared" si="22"/>
        <v>785653.20968518732</v>
      </c>
      <c r="AN58" s="16">
        <f t="shared" si="23"/>
        <v>6659.5332537007835</v>
      </c>
    </row>
    <row r="59" spans="2:40" x14ac:dyDescent="0.25">
      <c r="B59">
        <v>38</v>
      </c>
      <c r="C59" s="6">
        <f t="shared" ref="C59:C122" si="33">+G58</f>
        <v>1319812.7020047696</v>
      </c>
      <c r="D59" s="4">
        <f t="shared" si="1"/>
        <v>10524.37182563695</v>
      </c>
      <c r="E59" s="6">
        <f t="shared" ref="E59:E122" si="34">+C59+D59</f>
        <v>1330337.0738304066</v>
      </c>
      <c r="F59" s="4">
        <f t="shared" ref="F59:F122" si="35">+$F$15</f>
        <v>21800.878906101399</v>
      </c>
      <c r="G59" s="6">
        <f t="shared" ref="G59:G122" si="36">+E59-F59</f>
        <v>1308536.1949243052</v>
      </c>
      <c r="H59" s="6">
        <f t="shared" ref="H59:H122" si="37">+F59-D59</f>
        <v>11276.507080464449</v>
      </c>
      <c r="I59" s="6">
        <f t="shared" si="5"/>
        <v>473.68437807770835</v>
      </c>
      <c r="J59" s="6">
        <f t="shared" si="6"/>
        <v>623134678.14268637</v>
      </c>
      <c r="K59" s="6">
        <f t="shared" si="7"/>
        <v>4968963.4296295298</v>
      </c>
      <c r="L59" s="6">
        <f t="shared" si="8"/>
        <v>2039980.7855034287</v>
      </c>
      <c r="M59" s="6">
        <f t="shared" si="9"/>
        <v>16267.093255869748</v>
      </c>
      <c r="N59" s="6">
        <f t="shared" si="10"/>
        <v>7025211.3083888283</v>
      </c>
      <c r="O59" s="6">
        <f t="shared" si="11"/>
        <v>630159889.4510752</v>
      </c>
      <c r="P59" s="6">
        <f t="shared" si="12"/>
        <v>10326735.766184073</v>
      </c>
      <c r="Q59" s="6">
        <f t="shared" si="13"/>
        <v>619833153.6848911</v>
      </c>
      <c r="R59" s="6">
        <f t="shared" si="14"/>
        <v>3301524.4577952446</v>
      </c>
      <c r="S59" s="6">
        <f t="shared" si="15"/>
        <v>-21800.878906101399</v>
      </c>
      <c r="T59" s="6">
        <f t="shared" si="16"/>
        <v>-10326735.766184073</v>
      </c>
      <c r="U59" s="6"/>
      <c r="V59">
        <v>38</v>
      </c>
      <c r="W59" s="6">
        <f t="shared" si="24"/>
        <v>621852051.93844891</v>
      </c>
      <c r="X59" s="6">
        <f t="shared" si="25"/>
        <v>7010750.9991963878</v>
      </c>
      <c r="Y59" s="6">
        <f t="shared" si="26"/>
        <v>628862802.93764532</v>
      </c>
      <c r="Z59" s="6">
        <f t="shared" ref="Z59:Z122" si="38">+$Z$13</f>
        <v>11575665.239051715</v>
      </c>
      <c r="AA59" s="6">
        <f t="shared" si="27"/>
        <v>617287137.69859362</v>
      </c>
      <c r="AB59" s="6">
        <f t="shared" si="28"/>
        <v>4564914.2398553267</v>
      </c>
      <c r="AC59" s="6">
        <f t="shared" si="17"/>
        <v>-10326735.766184073</v>
      </c>
      <c r="AD59" s="6"/>
      <c r="AE59" s="6"/>
      <c r="AF59" s="6"/>
      <c r="AH59">
        <v>38</v>
      </c>
      <c r="AI59" s="6">
        <f t="shared" si="18"/>
        <v>785653.20968518732</v>
      </c>
      <c r="AJ59" s="4">
        <f t="shared" si="19"/>
        <v>6264.909022448659</v>
      </c>
      <c r="AK59" s="6">
        <f t="shared" si="20"/>
        <v>791918.11870763602</v>
      </c>
      <c r="AL59" s="4">
        <f t="shared" si="21"/>
        <v>12977.546329505407</v>
      </c>
      <c r="AM59" s="6">
        <f t="shared" si="22"/>
        <v>778940.57237813063</v>
      </c>
      <c r="AN59" s="6">
        <f t="shared" si="23"/>
        <v>6712.6373070567479</v>
      </c>
    </row>
    <row r="60" spans="2:40" x14ac:dyDescent="0.25">
      <c r="B60">
        <v>39</v>
      </c>
      <c r="C60" s="6">
        <f t="shared" si="33"/>
        <v>1308536.1949243052</v>
      </c>
      <c r="D60" s="4">
        <f t="shared" si="1"/>
        <v>10434.451374629798</v>
      </c>
      <c r="E60" s="6">
        <f t="shared" si="34"/>
        <v>1318970.6462989349</v>
      </c>
      <c r="F60" s="4">
        <f t="shared" si="35"/>
        <v>21800.878906101399</v>
      </c>
      <c r="G60" s="6">
        <f t="shared" si="36"/>
        <v>1297169.7673928335</v>
      </c>
      <c r="H60" s="6">
        <f t="shared" si="37"/>
        <v>11366.427531471601</v>
      </c>
      <c r="I60" s="6">
        <f t="shared" si="5"/>
        <v>475.23509747042749</v>
      </c>
      <c r="J60" s="6">
        <f t="shared" si="6"/>
        <v>619833153.6848911</v>
      </c>
      <c r="K60" s="6">
        <f t="shared" si="7"/>
        <v>4942636.6099736104</v>
      </c>
      <c r="L60" s="6">
        <f t="shared" si="8"/>
        <v>2029172.4535440416</v>
      </c>
      <c r="M60" s="6">
        <f t="shared" si="9"/>
        <v>16180.906099023388</v>
      </c>
      <c r="N60" s="6">
        <f t="shared" si="10"/>
        <v>6987989.9696166757</v>
      </c>
      <c r="O60" s="6">
        <f t="shared" si="11"/>
        <v>626821143.65450776</v>
      </c>
      <c r="P60" s="6">
        <f t="shared" si="12"/>
        <v>10360542.811882086</v>
      </c>
      <c r="Q60" s="6">
        <f t="shared" si="13"/>
        <v>616460600.84262562</v>
      </c>
      <c r="R60" s="6">
        <f t="shared" si="14"/>
        <v>3372552.8422654103</v>
      </c>
      <c r="S60" s="6">
        <f t="shared" si="15"/>
        <v>-21800.878906101399</v>
      </c>
      <c r="T60" s="6">
        <f t="shared" si="16"/>
        <v>-10360542.811882086</v>
      </c>
      <c r="U60" s="6"/>
      <c r="V60">
        <v>39</v>
      </c>
      <c r="W60" s="6">
        <f t="shared" si="24"/>
        <v>617287137.69859362</v>
      </c>
      <c r="X60" s="6">
        <f t="shared" si="25"/>
        <v>6959286.222376002</v>
      </c>
      <c r="Y60" s="6">
        <f t="shared" si="26"/>
        <v>624246423.92096961</v>
      </c>
      <c r="Z60" s="6">
        <f t="shared" si="38"/>
        <v>11575665.239051715</v>
      </c>
      <c r="AA60" s="6">
        <f t="shared" si="27"/>
        <v>612670758.68191791</v>
      </c>
      <c r="AB60" s="6">
        <f t="shared" si="28"/>
        <v>4616379.0166757125</v>
      </c>
      <c r="AC60" s="6">
        <f t="shared" si="17"/>
        <v>-10360542.811882086</v>
      </c>
      <c r="AD60" s="6"/>
      <c r="AE60" s="6"/>
      <c r="AF60" s="6"/>
      <c r="AH60">
        <v>39</v>
      </c>
      <c r="AI60" s="6">
        <f t="shared" si="18"/>
        <v>778940.57237813063</v>
      </c>
      <c r="AJ60" s="4">
        <f t="shared" si="19"/>
        <v>6211.3815099138901</v>
      </c>
      <c r="AK60" s="6">
        <f t="shared" si="20"/>
        <v>785151.95388804458</v>
      </c>
      <c r="AL60" s="4">
        <f t="shared" si="21"/>
        <v>12977.546329505407</v>
      </c>
      <c r="AM60" s="6">
        <f t="shared" si="22"/>
        <v>772174.40755853918</v>
      </c>
      <c r="AN60" s="6">
        <f t="shared" si="23"/>
        <v>6766.1648195915168</v>
      </c>
    </row>
    <row r="61" spans="2:40" x14ac:dyDescent="0.25">
      <c r="B61">
        <v>40</v>
      </c>
      <c r="C61" s="6">
        <f t="shared" si="33"/>
        <v>1297169.7673928335</v>
      </c>
      <c r="D61" s="4">
        <f t="shared" si="1"/>
        <v>10343.813885318885</v>
      </c>
      <c r="E61" s="6">
        <f t="shared" si="34"/>
        <v>1307513.5812781523</v>
      </c>
      <c r="F61" s="4">
        <f t="shared" si="35"/>
        <v>21800.878906101399</v>
      </c>
      <c r="G61" s="6">
        <f t="shared" si="36"/>
        <v>1285712.7023720508</v>
      </c>
      <c r="H61" s="6">
        <f t="shared" si="37"/>
        <v>11457.065020782515</v>
      </c>
      <c r="I61" s="6">
        <f t="shared" si="5"/>
        <v>476.79089351491359</v>
      </c>
      <c r="J61" s="6">
        <f t="shared" si="6"/>
        <v>616460600.84262562</v>
      </c>
      <c r="K61" s="6">
        <f t="shared" si="7"/>
        <v>4915743.4000054868</v>
      </c>
      <c r="L61" s="6">
        <f t="shared" si="8"/>
        <v>2018131.5931367492</v>
      </c>
      <c r="M61" s="6">
        <f t="shared" si="9"/>
        <v>16092.864727679713</v>
      </c>
      <c r="N61" s="6">
        <f t="shared" si="10"/>
        <v>6949967.8578699157</v>
      </c>
      <c r="O61" s="6">
        <f t="shared" si="11"/>
        <v>623410568.70049548</v>
      </c>
      <c r="P61" s="6">
        <f t="shared" si="12"/>
        <v>10394460.533050518</v>
      </c>
      <c r="Q61" s="6">
        <f t="shared" si="13"/>
        <v>613016108.16744494</v>
      </c>
      <c r="R61" s="6">
        <f t="shared" si="14"/>
        <v>3444492.6751806028</v>
      </c>
      <c r="S61" s="6">
        <f t="shared" si="15"/>
        <v>-21800.878906101399</v>
      </c>
      <c r="T61" s="6">
        <f t="shared" si="16"/>
        <v>-10394460.533050518</v>
      </c>
      <c r="U61" s="6"/>
      <c r="V61">
        <v>40</v>
      </c>
      <c r="W61" s="6">
        <f t="shared" si="24"/>
        <v>612670758.68191791</v>
      </c>
      <c r="X61" s="6">
        <f t="shared" si="25"/>
        <v>6907241.2324094297</v>
      </c>
      <c r="Y61" s="6">
        <f t="shared" si="26"/>
        <v>619577999.91432738</v>
      </c>
      <c r="Z61" s="6">
        <f t="shared" si="38"/>
        <v>11575665.239051715</v>
      </c>
      <c r="AA61" s="6">
        <f t="shared" si="27"/>
        <v>608002334.67527568</v>
      </c>
      <c r="AB61" s="6">
        <f t="shared" si="28"/>
        <v>4668424.0066422848</v>
      </c>
      <c r="AC61" s="6">
        <f t="shared" si="17"/>
        <v>-10394460.533050518</v>
      </c>
      <c r="AD61" s="6"/>
      <c r="AE61" s="6"/>
      <c r="AF61" s="6"/>
      <c r="AH61">
        <v>40</v>
      </c>
      <c r="AI61" s="6">
        <f t="shared" si="18"/>
        <v>772174.40755853918</v>
      </c>
      <c r="AJ61" s="4">
        <f t="shared" si="19"/>
        <v>6157.4271614773597</v>
      </c>
      <c r="AK61" s="6">
        <f t="shared" si="20"/>
        <v>778331.83472001657</v>
      </c>
      <c r="AL61" s="4">
        <f t="shared" si="21"/>
        <v>12977.546329505407</v>
      </c>
      <c r="AM61" s="6">
        <f t="shared" si="22"/>
        <v>765354.28839051118</v>
      </c>
      <c r="AN61" s="6">
        <f t="shared" si="23"/>
        <v>6820.1191680280472</v>
      </c>
    </row>
    <row r="62" spans="2:40" x14ac:dyDescent="0.25">
      <c r="B62">
        <v>41</v>
      </c>
      <c r="C62" s="6">
        <f t="shared" si="33"/>
        <v>1285712.7023720508</v>
      </c>
      <c r="D62" s="4">
        <f t="shared" si="1"/>
        <v>10252.453639940084</v>
      </c>
      <c r="E62" s="6">
        <f t="shared" si="34"/>
        <v>1295965.156011991</v>
      </c>
      <c r="F62" s="4">
        <f t="shared" si="35"/>
        <v>21800.878906101399</v>
      </c>
      <c r="G62" s="6">
        <f t="shared" si="36"/>
        <v>1274164.2771058895</v>
      </c>
      <c r="H62" s="6">
        <f t="shared" si="37"/>
        <v>11548.425266161315</v>
      </c>
      <c r="I62" s="6">
        <f t="shared" si="5"/>
        <v>478.35178283080353</v>
      </c>
      <c r="J62" s="6">
        <f t="shared" si="6"/>
        <v>613016108.16744494</v>
      </c>
      <c r="K62" s="6">
        <f t="shared" si="7"/>
        <v>4888276.5317072654</v>
      </c>
      <c r="L62" s="6">
        <f t="shared" si="8"/>
        <v>2006855.2204365174</v>
      </c>
      <c r="M62" s="6">
        <f t="shared" si="9"/>
        <v>16002.945348239407</v>
      </c>
      <c r="N62" s="6">
        <f t="shared" si="10"/>
        <v>6911134.6974920221</v>
      </c>
      <c r="O62" s="6">
        <f t="shared" si="11"/>
        <v>619927242.86493695</v>
      </c>
      <c r="P62" s="6">
        <f t="shared" si="12"/>
        <v>10428489.292012062</v>
      </c>
      <c r="Q62" s="6">
        <f t="shared" si="13"/>
        <v>609498753.57292485</v>
      </c>
      <c r="R62" s="6">
        <f t="shared" si="14"/>
        <v>3517354.5945200399</v>
      </c>
      <c r="S62" s="6">
        <f t="shared" si="15"/>
        <v>-21800.878906101399</v>
      </c>
      <c r="T62" s="6">
        <f t="shared" si="16"/>
        <v>-10428489.292012062</v>
      </c>
      <c r="U62" s="6"/>
      <c r="V62">
        <v>41</v>
      </c>
      <c r="W62" s="6">
        <f t="shared" si="24"/>
        <v>608002334.67527568</v>
      </c>
      <c r="X62" s="6">
        <f t="shared" si="25"/>
        <v>6854609.4879820934</v>
      </c>
      <c r="Y62" s="6">
        <f t="shared" si="26"/>
        <v>614856944.16325772</v>
      </c>
      <c r="Z62" s="6">
        <f t="shared" si="38"/>
        <v>11575665.239051715</v>
      </c>
      <c r="AA62" s="6">
        <f t="shared" si="27"/>
        <v>603281278.92420602</v>
      </c>
      <c r="AB62" s="6">
        <f t="shared" si="28"/>
        <v>4721055.7510696212</v>
      </c>
      <c r="AC62" s="6">
        <f t="shared" si="17"/>
        <v>-10428489.292012062</v>
      </c>
      <c r="AD62" s="6"/>
      <c r="AE62" s="6"/>
      <c r="AF62" s="6"/>
      <c r="AH62">
        <v>41</v>
      </c>
      <c r="AI62" s="6">
        <f t="shared" si="18"/>
        <v>765354.28839051118</v>
      </c>
      <c r="AJ62" s="4">
        <f t="shared" si="19"/>
        <v>6103.0425734896462</v>
      </c>
      <c r="AK62" s="6">
        <f t="shared" si="20"/>
        <v>771457.33096400078</v>
      </c>
      <c r="AL62" s="4">
        <f t="shared" si="21"/>
        <v>12977.546329505407</v>
      </c>
      <c r="AM62" s="6">
        <f t="shared" si="22"/>
        <v>758479.78463449539</v>
      </c>
      <c r="AN62" s="6">
        <f t="shared" si="23"/>
        <v>6874.5037560157607</v>
      </c>
    </row>
    <row r="63" spans="2:40" x14ac:dyDescent="0.25">
      <c r="B63">
        <v>42</v>
      </c>
      <c r="C63" s="6">
        <f t="shared" si="33"/>
        <v>1274164.2771058895</v>
      </c>
      <c r="D63" s="4">
        <f t="shared" si="1"/>
        <v>10160.364875135012</v>
      </c>
      <c r="E63" s="6">
        <f t="shared" si="34"/>
        <v>1284324.6419810245</v>
      </c>
      <c r="F63" s="4">
        <f t="shared" si="35"/>
        <v>21800.878906101399</v>
      </c>
      <c r="G63" s="6">
        <f t="shared" si="36"/>
        <v>1262523.7630749231</v>
      </c>
      <c r="H63" s="6">
        <f t="shared" si="37"/>
        <v>11640.514030966388</v>
      </c>
      <c r="I63" s="6">
        <f t="shared" si="5"/>
        <v>479.91778209214249</v>
      </c>
      <c r="J63" s="6">
        <f t="shared" si="6"/>
        <v>609498753.57292485</v>
      </c>
      <c r="K63" s="6">
        <f t="shared" si="7"/>
        <v>4860228.6522323126</v>
      </c>
      <c r="L63" s="6">
        <f t="shared" si="8"/>
        <v>1995340.3167723368</v>
      </c>
      <c r="M63" s="6">
        <f t="shared" si="9"/>
        <v>15911.123889395934</v>
      </c>
      <c r="N63" s="6">
        <f t="shared" si="10"/>
        <v>6871480.0928940456</v>
      </c>
      <c r="O63" s="6">
        <f t="shared" si="11"/>
        <v>616370233.66581893</v>
      </c>
      <c r="P63" s="6">
        <f t="shared" si="12"/>
        <v>10462629.452275557</v>
      </c>
      <c r="Q63" s="6">
        <f t="shared" si="13"/>
        <v>605907604.21354342</v>
      </c>
      <c r="R63" s="6">
        <f t="shared" si="14"/>
        <v>3591149.3593815118</v>
      </c>
      <c r="S63" s="6">
        <f t="shared" si="15"/>
        <v>-21800.878906101399</v>
      </c>
      <c r="T63" s="6">
        <f t="shared" si="16"/>
        <v>-10462629.452275557</v>
      </c>
      <c r="U63" s="6"/>
      <c r="V63">
        <v>42</v>
      </c>
      <c r="W63" s="6">
        <f t="shared" si="24"/>
        <v>603281278.92420602</v>
      </c>
      <c r="X63" s="6">
        <f t="shared" si="25"/>
        <v>6801384.3740327237</v>
      </c>
      <c r="Y63" s="6">
        <f t="shared" si="26"/>
        <v>610082663.29823875</v>
      </c>
      <c r="Z63" s="6">
        <f t="shared" si="38"/>
        <v>11575665.239051715</v>
      </c>
      <c r="AA63" s="6">
        <f t="shared" si="27"/>
        <v>598506998.05918705</v>
      </c>
      <c r="AB63" s="6">
        <f t="shared" si="28"/>
        <v>4774280.8650189908</v>
      </c>
      <c r="AC63" s="6">
        <f t="shared" si="17"/>
        <v>-10462629.452275557</v>
      </c>
      <c r="AD63" s="6"/>
      <c r="AE63" s="6"/>
      <c r="AF63" s="6"/>
      <c r="AH63">
        <v>42</v>
      </c>
      <c r="AI63" s="6">
        <f t="shared" si="18"/>
        <v>758479.78463449539</v>
      </c>
      <c r="AJ63" s="4">
        <f t="shared" si="19"/>
        <v>6048.2243151601497</v>
      </c>
      <c r="AK63" s="6">
        <f t="shared" si="20"/>
        <v>764528.00894965557</v>
      </c>
      <c r="AL63" s="4">
        <f t="shared" si="21"/>
        <v>12977.546329505407</v>
      </c>
      <c r="AM63" s="6">
        <f t="shared" si="22"/>
        <v>751550.46262015018</v>
      </c>
      <c r="AN63" s="6">
        <f t="shared" si="23"/>
        <v>6929.3220143452572</v>
      </c>
    </row>
    <row r="64" spans="2:40" x14ac:dyDescent="0.25">
      <c r="B64">
        <v>43</v>
      </c>
      <c r="C64" s="6">
        <f t="shared" si="33"/>
        <v>1262523.7630749231</v>
      </c>
      <c r="D64" s="4">
        <f t="shared" si="1"/>
        <v>10067.541781587461</v>
      </c>
      <c r="E64" s="6">
        <f t="shared" si="34"/>
        <v>1272591.3048565106</v>
      </c>
      <c r="F64" s="4">
        <f t="shared" si="35"/>
        <v>21800.878906101399</v>
      </c>
      <c r="G64" s="6">
        <f t="shared" si="36"/>
        <v>1250790.4259504091</v>
      </c>
      <c r="H64" s="6">
        <f t="shared" si="37"/>
        <v>11733.337124513939</v>
      </c>
      <c r="I64" s="6">
        <f t="shared" si="5"/>
        <v>481.48890802756222</v>
      </c>
      <c r="J64" s="6">
        <f t="shared" si="6"/>
        <v>605907604.21354342</v>
      </c>
      <c r="K64" s="6">
        <f t="shared" si="7"/>
        <v>4831592.3229394369</v>
      </c>
      <c r="L64" s="6">
        <f t="shared" si="8"/>
        <v>1983583.8282507118</v>
      </c>
      <c r="M64" s="6">
        <f t="shared" si="9"/>
        <v>15817.375998973699</v>
      </c>
      <c r="N64" s="6">
        <f t="shared" si="10"/>
        <v>6830993.5271891225</v>
      </c>
      <c r="O64" s="6">
        <f t="shared" si="11"/>
        <v>612738597.74073255</v>
      </c>
      <c r="P64" s="6">
        <f t="shared" si="12"/>
        <v>10496881.378539879</v>
      </c>
      <c r="Q64" s="6">
        <f t="shared" si="13"/>
        <v>602241716.36219263</v>
      </c>
      <c r="R64" s="6">
        <f t="shared" si="14"/>
        <v>3665887.8513507564</v>
      </c>
      <c r="S64" s="6">
        <f t="shared" si="15"/>
        <v>-21800.878906101399</v>
      </c>
      <c r="T64" s="6">
        <f t="shared" si="16"/>
        <v>-10496881.378539879</v>
      </c>
      <c r="U64" s="6"/>
      <c r="V64">
        <v>43</v>
      </c>
      <c r="W64" s="6">
        <f t="shared" si="24"/>
        <v>598506998.05918705</v>
      </c>
      <c r="X64" s="6">
        <f t="shared" si="25"/>
        <v>6747559.2009219509</v>
      </c>
      <c r="Y64" s="6">
        <f t="shared" si="26"/>
        <v>605254557.26010895</v>
      </c>
      <c r="Z64" s="6">
        <f t="shared" si="38"/>
        <v>11575665.239051715</v>
      </c>
      <c r="AA64" s="6">
        <f t="shared" si="27"/>
        <v>593678892.02105725</v>
      </c>
      <c r="AB64" s="6">
        <f t="shared" si="28"/>
        <v>4828106.0381297637</v>
      </c>
      <c r="AC64" s="6">
        <f t="shared" si="17"/>
        <v>-10496881.378539879</v>
      </c>
      <c r="AD64" s="6"/>
      <c r="AE64" s="6"/>
      <c r="AF64" s="6"/>
      <c r="AH64">
        <v>43</v>
      </c>
      <c r="AI64" s="6">
        <f t="shared" si="18"/>
        <v>751550.46262015018</v>
      </c>
      <c r="AJ64" s="4">
        <f t="shared" si="19"/>
        <v>5992.9689283406669</v>
      </c>
      <c r="AK64" s="6">
        <f t="shared" si="20"/>
        <v>757543.43154849089</v>
      </c>
      <c r="AL64" s="4">
        <f t="shared" si="21"/>
        <v>12977.546329505407</v>
      </c>
      <c r="AM64" s="6">
        <f t="shared" si="22"/>
        <v>744565.8852189855</v>
      </c>
      <c r="AN64" s="6">
        <f t="shared" si="23"/>
        <v>6984.57740116474</v>
      </c>
    </row>
    <row r="65" spans="2:40" x14ac:dyDescent="0.25">
      <c r="B65">
        <v>44</v>
      </c>
      <c r="C65" s="6">
        <f t="shared" si="33"/>
        <v>1250790.4259504091</v>
      </c>
      <c r="D65" s="4">
        <f t="shared" si="1"/>
        <v>9973.9785036569174</v>
      </c>
      <c r="E65" s="6">
        <f t="shared" si="34"/>
        <v>1260764.404454066</v>
      </c>
      <c r="F65" s="4">
        <f t="shared" si="35"/>
        <v>21800.878906101399</v>
      </c>
      <c r="G65" s="6">
        <f t="shared" si="36"/>
        <v>1238963.5255479645</v>
      </c>
      <c r="H65" s="6">
        <f t="shared" si="37"/>
        <v>11826.900402444482</v>
      </c>
      <c r="I65" s="6">
        <f t="shared" si="5"/>
        <v>483.06517742045958</v>
      </c>
      <c r="J65" s="6">
        <f t="shared" si="6"/>
        <v>602241716.36219263</v>
      </c>
      <c r="K65" s="6">
        <f t="shared" si="7"/>
        <v>4802360.0184161542</v>
      </c>
      <c r="L65" s="6">
        <f t="shared" si="8"/>
        <v>1971582.6653546649</v>
      </c>
      <c r="M65" s="6">
        <f t="shared" si="9"/>
        <v>15721.677040730476</v>
      </c>
      <c r="N65" s="6">
        <f t="shared" si="10"/>
        <v>6789664.3608115502</v>
      </c>
      <c r="O65" s="6">
        <f t="shared" si="11"/>
        <v>609031380.72300422</v>
      </c>
      <c r="P65" s="6">
        <f t="shared" si="12"/>
        <v>10531245.436697828</v>
      </c>
      <c r="Q65" s="6">
        <f t="shared" si="13"/>
        <v>598500135.28630638</v>
      </c>
      <c r="R65" s="6">
        <f t="shared" si="14"/>
        <v>3741581.0758862775</v>
      </c>
      <c r="S65" s="6">
        <f t="shared" si="15"/>
        <v>-21800.878906101399</v>
      </c>
      <c r="T65" s="6">
        <f t="shared" si="16"/>
        <v>-10531245.436697828</v>
      </c>
      <c r="U65" s="6"/>
      <c r="V65">
        <v>44</v>
      </c>
      <c r="W65" s="6">
        <f t="shared" si="24"/>
        <v>593678892.02105725</v>
      </c>
      <c r="X65" s="6">
        <f t="shared" si="25"/>
        <v>6693127.2035915079</v>
      </c>
      <c r="Y65" s="6">
        <f t="shared" si="26"/>
        <v>600372019.22464871</v>
      </c>
      <c r="Z65" s="6">
        <f t="shared" si="38"/>
        <v>11575665.239051715</v>
      </c>
      <c r="AA65" s="6">
        <f t="shared" si="27"/>
        <v>588796353.98559701</v>
      </c>
      <c r="AB65" s="6">
        <f t="shared" si="28"/>
        <v>4882538.0354602067</v>
      </c>
      <c r="AC65" s="6">
        <f t="shared" si="17"/>
        <v>-10531245.436697828</v>
      </c>
      <c r="AD65" s="6"/>
      <c r="AE65" s="6"/>
      <c r="AF65" s="6"/>
      <c r="AH65">
        <v>44</v>
      </c>
      <c r="AI65" s="6">
        <f t="shared" si="18"/>
        <v>744565.8852189855</v>
      </c>
      <c r="AJ65" s="4">
        <f t="shared" si="19"/>
        <v>5937.2729273072318</v>
      </c>
      <c r="AK65" s="6">
        <f t="shared" si="20"/>
        <v>750503.15814629267</v>
      </c>
      <c r="AL65" s="4">
        <f t="shared" si="21"/>
        <v>12977.546329505407</v>
      </c>
      <c r="AM65" s="6">
        <f t="shared" si="22"/>
        <v>737525.61181678728</v>
      </c>
      <c r="AN65" s="6">
        <f t="shared" si="23"/>
        <v>7040.2734021981751</v>
      </c>
    </row>
    <row r="66" spans="2:40" x14ac:dyDescent="0.25">
      <c r="B66">
        <v>45</v>
      </c>
      <c r="C66" s="6">
        <f t="shared" si="33"/>
        <v>1238963.5255479645</v>
      </c>
      <c r="D66" s="4">
        <f t="shared" si="1"/>
        <v>9879.6691390091655</v>
      </c>
      <c r="E66" s="6">
        <f t="shared" si="34"/>
        <v>1248843.1946869737</v>
      </c>
      <c r="F66" s="4">
        <f t="shared" si="35"/>
        <v>21800.878906101399</v>
      </c>
      <c r="G66" s="6">
        <f t="shared" si="36"/>
        <v>1227042.3157808722</v>
      </c>
      <c r="H66" s="6">
        <f t="shared" si="37"/>
        <v>11921.209767092234</v>
      </c>
      <c r="I66" s="6">
        <f t="shared" si="5"/>
        <v>484.64660710917593</v>
      </c>
      <c r="J66" s="6">
        <f t="shared" si="6"/>
        <v>598500135.28630638</v>
      </c>
      <c r="K66" s="6">
        <f t="shared" si="7"/>
        <v>4772524.1254909085</v>
      </c>
      <c r="L66" s="6">
        <f t="shared" si="8"/>
        <v>1959333.7025382135</v>
      </c>
      <c r="M66" s="6">
        <f t="shared" si="9"/>
        <v>15624.002091123672</v>
      </c>
      <c r="N66" s="6">
        <f t="shared" si="10"/>
        <v>6747481.8301202459</v>
      </c>
      <c r="O66" s="6">
        <f t="shared" si="11"/>
        <v>605247617.11642659</v>
      </c>
      <c r="P66" s="6">
        <f t="shared" si="12"/>
        <v>10565721.993840046</v>
      </c>
      <c r="Q66" s="6">
        <f t="shared" si="13"/>
        <v>594681895.12258649</v>
      </c>
      <c r="R66" s="6">
        <f t="shared" si="14"/>
        <v>3818240.1637198003</v>
      </c>
      <c r="S66" s="6">
        <f t="shared" si="15"/>
        <v>-21800.878906101399</v>
      </c>
      <c r="T66" s="6">
        <f t="shared" si="16"/>
        <v>-10565721.993840046</v>
      </c>
      <c r="U66" s="6"/>
      <c r="V66">
        <v>45</v>
      </c>
      <c r="W66" s="6">
        <f t="shared" si="24"/>
        <v>588796353.98559701</v>
      </c>
      <c r="X66" s="6">
        <f t="shared" si="25"/>
        <v>6638081.5407139566</v>
      </c>
      <c r="Y66" s="6">
        <f t="shared" si="26"/>
        <v>595434435.52631092</v>
      </c>
      <c r="Z66" s="6">
        <f t="shared" si="38"/>
        <v>11575665.239051715</v>
      </c>
      <c r="AA66" s="6">
        <f t="shared" si="27"/>
        <v>583858770.28725922</v>
      </c>
      <c r="AB66" s="6">
        <f t="shared" si="28"/>
        <v>4937583.698337758</v>
      </c>
      <c r="AC66" s="6">
        <f t="shared" si="17"/>
        <v>-10565721.993840046</v>
      </c>
      <c r="AD66" s="6"/>
      <c r="AE66" s="6"/>
      <c r="AF66" s="6"/>
      <c r="AH66">
        <v>45</v>
      </c>
      <c r="AI66" s="6">
        <f t="shared" si="18"/>
        <v>737525.61181678728</v>
      </c>
      <c r="AJ66" s="4">
        <f t="shared" si="19"/>
        <v>5881.1327985402277</v>
      </c>
      <c r="AK66" s="6">
        <f t="shared" si="20"/>
        <v>743406.74461532745</v>
      </c>
      <c r="AL66" s="4">
        <f t="shared" si="21"/>
        <v>12977.546329505407</v>
      </c>
      <c r="AM66" s="6">
        <f t="shared" si="22"/>
        <v>730429.19828582206</v>
      </c>
      <c r="AN66" s="6">
        <f t="shared" si="23"/>
        <v>7096.4135309651792</v>
      </c>
    </row>
    <row r="67" spans="2:40" x14ac:dyDescent="0.25">
      <c r="B67">
        <v>46</v>
      </c>
      <c r="C67" s="6">
        <f t="shared" si="33"/>
        <v>1227042.3157808722</v>
      </c>
      <c r="D67" s="4">
        <f t="shared" si="1"/>
        <v>9784.6077382439526</v>
      </c>
      <c r="E67" s="6">
        <f t="shared" si="34"/>
        <v>1236826.9235191161</v>
      </c>
      <c r="F67" s="4">
        <f t="shared" si="35"/>
        <v>21800.878906101399</v>
      </c>
      <c r="G67" s="6">
        <f t="shared" si="36"/>
        <v>1215026.0446130147</v>
      </c>
      <c r="H67" s="6">
        <f t="shared" si="37"/>
        <v>12016.271167857447</v>
      </c>
      <c r="I67" s="6">
        <f t="shared" si="5"/>
        <v>486.23321398717695</v>
      </c>
      <c r="J67" s="6">
        <f t="shared" si="6"/>
        <v>594681895.12258649</v>
      </c>
      <c r="K67" s="6">
        <f t="shared" si="7"/>
        <v>4742076.942234125</v>
      </c>
      <c r="L67" s="6">
        <f t="shared" si="8"/>
        <v>1946833.7778162539</v>
      </c>
      <c r="M67" s="6">
        <f t="shared" si="9"/>
        <v>15524.325936040039</v>
      </c>
      <c r="N67" s="6">
        <f t="shared" si="10"/>
        <v>6704435.0459864186</v>
      </c>
      <c r="O67" s="6">
        <f t="shared" si="11"/>
        <v>601386330.1685729</v>
      </c>
      <c r="P67" s="6">
        <f t="shared" si="12"/>
        <v>10600311.418258933</v>
      </c>
      <c r="Q67" s="6">
        <f t="shared" si="13"/>
        <v>590786018.750314</v>
      </c>
      <c r="R67" s="6">
        <f t="shared" si="14"/>
        <v>3895876.3722725147</v>
      </c>
      <c r="S67" s="6">
        <f t="shared" si="15"/>
        <v>-21800.878906101399</v>
      </c>
      <c r="T67" s="6">
        <f t="shared" si="16"/>
        <v>-10600311.418258933</v>
      </c>
      <c r="U67" s="6"/>
      <c r="V67">
        <v>46</v>
      </c>
      <c r="W67" s="6">
        <f t="shared" si="24"/>
        <v>583858770.28725922</v>
      </c>
      <c r="X67" s="6">
        <f t="shared" si="25"/>
        <v>6582415.2938328357</v>
      </c>
      <c r="Y67" s="6">
        <f t="shared" si="26"/>
        <v>590441185.581092</v>
      </c>
      <c r="Z67" s="6">
        <f t="shared" si="38"/>
        <v>11575665.239051715</v>
      </c>
      <c r="AA67" s="6">
        <f t="shared" si="27"/>
        <v>578865520.3420403</v>
      </c>
      <c r="AB67" s="6">
        <f t="shared" si="28"/>
        <v>4993249.9452188788</v>
      </c>
      <c r="AC67" s="6">
        <f t="shared" si="17"/>
        <v>-10600311.418258933</v>
      </c>
      <c r="AD67" s="6"/>
      <c r="AE67" s="6"/>
      <c r="AF67" s="6"/>
      <c r="AH67">
        <v>46</v>
      </c>
      <c r="AI67" s="6">
        <f t="shared" si="18"/>
        <v>730429.19828582206</v>
      </c>
      <c r="AJ67" s="4">
        <f t="shared" si="19"/>
        <v>5824.5450005027378</v>
      </c>
      <c r="AK67" s="6">
        <f t="shared" si="20"/>
        <v>736253.74328632478</v>
      </c>
      <c r="AL67" s="4">
        <f t="shared" si="21"/>
        <v>12977.546329505407</v>
      </c>
      <c r="AM67" s="6">
        <f t="shared" si="22"/>
        <v>723276.19695681939</v>
      </c>
      <c r="AN67" s="6">
        <f t="shared" si="23"/>
        <v>7153.0013290026691</v>
      </c>
    </row>
    <row r="68" spans="2:40" x14ac:dyDescent="0.25">
      <c r="B68">
        <v>47</v>
      </c>
      <c r="C68" s="6">
        <f t="shared" si="33"/>
        <v>1215026.0446130147</v>
      </c>
      <c r="D68" s="4">
        <f t="shared" si="1"/>
        <v>9688.7883045196686</v>
      </c>
      <c r="E68" s="6">
        <f t="shared" si="34"/>
        <v>1224714.8329175343</v>
      </c>
      <c r="F68" s="4">
        <f t="shared" si="35"/>
        <v>21800.878906101399</v>
      </c>
      <c r="G68" s="6">
        <f t="shared" si="36"/>
        <v>1202913.9540114328</v>
      </c>
      <c r="H68" s="6">
        <f t="shared" si="37"/>
        <v>12112.090601581731</v>
      </c>
      <c r="I68" s="6">
        <f t="shared" si="5"/>
        <v>487.8250150032332</v>
      </c>
      <c r="J68" s="6">
        <f t="shared" si="6"/>
        <v>590786018.750314</v>
      </c>
      <c r="K68" s="6">
        <f t="shared" si="7"/>
        <v>4711010.6769479765</v>
      </c>
      <c r="L68" s="6">
        <f t="shared" si="8"/>
        <v>1934079.6923498167</v>
      </c>
      <c r="M68" s="6">
        <f t="shared" si="9"/>
        <v>15422.62306748843</v>
      </c>
      <c r="N68" s="6">
        <f t="shared" si="10"/>
        <v>6660512.992365282</v>
      </c>
      <c r="O68" s="6">
        <f t="shared" si="11"/>
        <v>597446531.74267924</v>
      </c>
      <c r="P68" s="6">
        <f t="shared" si="12"/>
        <v>10635014.079452585</v>
      </c>
      <c r="Q68" s="6">
        <f t="shared" si="13"/>
        <v>586811517.6632266</v>
      </c>
      <c r="R68" s="6">
        <f t="shared" si="14"/>
        <v>3974501.0870873034</v>
      </c>
      <c r="S68" s="6">
        <f t="shared" si="15"/>
        <v>-21800.878906101399</v>
      </c>
      <c r="T68" s="6">
        <f t="shared" si="16"/>
        <v>-10635014.079452585</v>
      </c>
      <c r="U68" s="6"/>
      <c r="V68">
        <v>47</v>
      </c>
      <c r="W68" s="6">
        <f t="shared" si="24"/>
        <v>578865520.3420403</v>
      </c>
      <c r="X68" s="6">
        <f t="shared" si="25"/>
        <v>6526121.4664931037</v>
      </c>
      <c r="Y68" s="6">
        <f t="shared" si="26"/>
        <v>585391641.80853343</v>
      </c>
      <c r="Z68" s="6">
        <f t="shared" si="38"/>
        <v>11575665.239051715</v>
      </c>
      <c r="AA68" s="6">
        <f t="shared" si="27"/>
        <v>573815976.56948173</v>
      </c>
      <c r="AB68" s="6">
        <f t="shared" si="28"/>
        <v>5049543.7725586109</v>
      </c>
      <c r="AC68" s="6">
        <f t="shared" si="17"/>
        <v>-10635014.079452585</v>
      </c>
      <c r="AD68" s="6"/>
      <c r="AE68" s="6"/>
      <c r="AF68" s="6"/>
      <c r="AH68">
        <v>47</v>
      </c>
      <c r="AI68" s="6">
        <f t="shared" si="18"/>
        <v>723276.19695681939</v>
      </c>
      <c r="AJ68" s="4">
        <f t="shared" si="19"/>
        <v>5767.5059634171348</v>
      </c>
      <c r="AK68" s="6">
        <f t="shared" si="20"/>
        <v>729043.70292023651</v>
      </c>
      <c r="AL68" s="4">
        <f t="shared" si="21"/>
        <v>12977.546329505407</v>
      </c>
      <c r="AM68" s="6">
        <f t="shared" si="22"/>
        <v>716066.15659073112</v>
      </c>
      <c r="AN68" s="6">
        <f t="shared" si="23"/>
        <v>7210.0403660882721</v>
      </c>
    </row>
    <row r="69" spans="2:40" x14ac:dyDescent="0.25">
      <c r="B69">
        <v>48</v>
      </c>
      <c r="C69" s="6">
        <f t="shared" si="33"/>
        <v>1202913.9540114328</v>
      </c>
      <c r="D69" s="4">
        <f t="shared" si="1"/>
        <v>9592.2047931750494</v>
      </c>
      <c r="E69" s="6">
        <f t="shared" si="34"/>
        <v>1212506.1588046078</v>
      </c>
      <c r="F69" s="4">
        <f t="shared" si="35"/>
        <v>21800.878906101399</v>
      </c>
      <c r="G69" s="6">
        <f t="shared" si="36"/>
        <v>1190705.2798985064</v>
      </c>
      <c r="H69" s="6">
        <f t="shared" si="37"/>
        <v>12208.67411292635</v>
      </c>
      <c r="I69" s="6">
        <f t="shared" si="5"/>
        <v>489.42202716160108</v>
      </c>
      <c r="J69" s="6">
        <f t="shared" si="6"/>
        <v>586811517.6632266</v>
      </c>
      <c r="K69" s="6">
        <f t="shared" si="7"/>
        <v>4679317.4471447105</v>
      </c>
      <c r="L69" s="6">
        <f t="shared" si="8"/>
        <v>1921068.210026626</v>
      </c>
      <c r="M69" s="6">
        <f t="shared" si="9"/>
        <v>15318.867680255105</v>
      </c>
      <c r="N69" s="6">
        <f t="shared" si="10"/>
        <v>6615704.5248515923</v>
      </c>
      <c r="O69" s="6">
        <f t="shared" si="11"/>
        <v>593427222.18807817</v>
      </c>
      <c r="P69" s="6">
        <f t="shared" si="12"/>
        <v>10669830.348128736</v>
      </c>
      <c r="Q69" s="6">
        <f t="shared" si="13"/>
        <v>582757391.83994937</v>
      </c>
      <c r="R69" s="6">
        <f t="shared" si="14"/>
        <v>4054125.8232771438</v>
      </c>
      <c r="S69" s="6">
        <f t="shared" si="15"/>
        <v>-21800.878906101399</v>
      </c>
      <c r="T69" s="6">
        <f t="shared" si="16"/>
        <v>-10669830.348128736</v>
      </c>
      <c r="U69" s="6"/>
      <c r="V69">
        <v>48</v>
      </c>
      <c r="W69" s="6">
        <f t="shared" si="24"/>
        <v>573815976.56948173</v>
      </c>
      <c r="X69" s="6">
        <f t="shared" si="25"/>
        <v>6469192.98336179</v>
      </c>
      <c r="Y69" s="6">
        <f t="shared" si="26"/>
        <v>580285169.55284357</v>
      </c>
      <c r="Z69" s="6">
        <f t="shared" si="38"/>
        <v>11575665.239051715</v>
      </c>
      <c r="AA69" s="6">
        <f t="shared" si="27"/>
        <v>568709504.31379187</v>
      </c>
      <c r="AB69" s="6">
        <f t="shared" si="28"/>
        <v>5106472.2556899246</v>
      </c>
      <c r="AC69" s="6">
        <f t="shared" si="17"/>
        <v>-10669830.348128736</v>
      </c>
      <c r="AD69" s="6"/>
      <c r="AE69" s="6"/>
      <c r="AF69" s="6"/>
      <c r="AH69">
        <v>48</v>
      </c>
      <c r="AI69" s="6">
        <f t="shared" si="18"/>
        <v>716066.15659073112</v>
      </c>
      <c r="AJ69" s="4">
        <f t="shared" si="19"/>
        <v>5710.012089039883</v>
      </c>
      <c r="AK69" s="6">
        <f t="shared" si="20"/>
        <v>721776.16867977101</v>
      </c>
      <c r="AL69" s="4">
        <f t="shared" si="21"/>
        <v>12977.546329505407</v>
      </c>
      <c r="AM69" s="6">
        <f t="shared" si="22"/>
        <v>708798.62235026562</v>
      </c>
      <c r="AN69" s="6">
        <f t="shared" si="23"/>
        <v>7267.5342404655239</v>
      </c>
    </row>
    <row r="70" spans="2:40" x14ac:dyDescent="0.25">
      <c r="B70">
        <v>49</v>
      </c>
      <c r="C70" s="6">
        <f t="shared" si="33"/>
        <v>1190705.2798985064</v>
      </c>
      <c r="D70" s="4">
        <f t="shared" si="1"/>
        <v>9494.8511113478526</v>
      </c>
      <c r="E70" s="6">
        <f t="shared" si="34"/>
        <v>1200200.1310098541</v>
      </c>
      <c r="F70" s="4">
        <f t="shared" si="35"/>
        <v>21800.878906101399</v>
      </c>
      <c r="G70" s="6">
        <f t="shared" si="36"/>
        <v>1178399.2521037527</v>
      </c>
      <c r="H70" s="6">
        <f t="shared" si="37"/>
        <v>12306.027794753547</v>
      </c>
      <c r="I70" s="6">
        <f t="shared" si="5"/>
        <v>491.02426752220447</v>
      </c>
      <c r="J70" s="6">
        <f t="shared" si="6"/>
        <v>582757391.83994937</v>
      </c>
      <c r="K70" s="6">
        <f t="shared" si="7"/>
        <v>4646989.278513453</v>
      </c>
      <c r="L70" s="6">
        <f t="shared" si="8"/>
        <v>1907796.0570369232</v>
      </c>
      <c r="M70" s="6">
        <f t="shared" si="9"/>
        <v>15213.033668521322</v>
      </c>
      <c r="N70" s="6">
        <f t="shared" si="10"/>
        <v>6569998.3692188971</v>
      </c>
      <c r="O70" s="6">
        <f t="shared" si="11"/>
        <v>589327390.20916831</v>
      </c>
      <c r="P70" s="6">
        <f t="shared" si="12"/>
        <v>10704760.596208718</v>
      </c>
      <c r="Q70" s="6">
        <f t="shared" si="13"/>
        <v>578622629.61295962</v>
      </c>
      <c r="R70" s="6">
        <f t="shared" si="14"/>
        <v>4134762.2269898206</v>
      </c>
      <c r="S70" s="6">
        <f t="shared" si="15"/>
        <v>-21800.878906101399</v>
      </c>
      <c r="T70" s="6">
        <f t="shared" si="16"/>
        <v>-10704760.596208718</v>
      </c>
      <c r="U70" s="6"/>
      <c r="V70">
        <v>49</v>
      </c>
      <c r="W70" s="6">
        <f t="shared" si="24"/>
        <v>568709504.31379187</v>
      </c>
      <c r="X70" s="6">
        <f t="shared" si="25"/>
        <v>6411622.6893387195</v>
      </c>
      <c r="Y70" s="6">
        <f t="shared" si="26"/>
        <v>575121127.00313056</v>
      </c>
      <c r="Z70" s="6">
        <f t="shared" si="38"/>
        <v>11575665.239051715</v>
      </c>
      <c r="AA70" s="6">
        <f t="shared" si="27"/>
        <v>563545461.76407886</v>
      </c>
      <c r="AB70" s="6">
        <f t="shared" si="28"/>
        <v>5164042.5497129951</v>
      </c>
      <c r="AC70" s="6">
        <f t="shared" si="17"/>
        <v>-10704760.596208718</v>
      </c>
      <c r="AD70" s="6"/>
      <c r="AE70" s="6"/>
      <c r="AF70" s="6"/>
      <c r="AH70">
        <v>49</v>
      </c>
      <c r="AI70" s="6">
        <f t="shared" si="18"/>
        <v>708798.62235026562</v>
      </c>
      <c r="AJ70" s="4">
        <f t="shared" si="19"/>
        <v>5652.0597504345442</v>
      </c>
      <c r="AK70" s="6">
        <f t="shared" si="20"/>
        <v>714450.68210070021</v>
      </c>
      <c r="AL70" s="4">
        <f t="shared" si="21"/>
        <v>12977.546329505407</v>
      </c>
      <c r="AM70" s="6">
        <f t="shared" si="22"/>
        <v>701473.13577119482</v>
      </c>
      <c r="AN70" s="6">
        <f t="shared" si="23"/>
        <v>7325.4865790708627</v>
      </c>
    </row>
    <row r="71" spans="2:40" x14ac:dyDescent="0.25">
      <c r="B71">
        <v>50</v>
      </c>
      <c r="C71" s="6">
        <f t="shared" si="33"/>
        <v>1178399.2521037527</v>
      </c>
      <c r="D71" s="4">
        <f t="shared" si="1"/>
        <v>9396.721117590494</v>
      </c>
      <c r="E71" s="6">
        <f t="shared" si="34"/>
        <v>1187795.9732213432</v>
      </c>
      <c r="F71" s="4">
        <f t="shared" si="35"/>
        <v>21800.878906101399</v>
      </c>
      <c r="G71" s="6">
        <f t="shared" si="36"/>
        <v>1165995.0943152418</v>
      </c>
      <c r="H71" s="6">
        <f t="shared" si="37"/>
        <v>12404.157788510905</v>
      </c>
      <c r="I71" s="6">
        <f t="shared" si="5"/>
        <v>492.631753200817</v>
      </c>
      <c r="J71" s="6">
        <f t="shared" si="6"/>
        <v>578622629.61295962</v>
      </c>
      <c r="K71" s="6">
        <f t="shared" si="7"/>
        <v>4614018.1038753102</v>
      </c>
      <c r="L71" s="6">
        <f t="shared" si="8"/>
        <v>1894259.9214444936</v>
      </c>
      <c r="M71" s="6">
        <f t="shared" si="9"/>
        <v>15105.094622442606</v>
      </c>
      <c r="N71" s="6">
        <f t="shared" si="10"/>
        <v>6523383.119942246</v>
      </c>
      <c r="O71" s="6">
        <f t="shared" si="11"/>
        <v>585146012.73290181</v>
      </c>
      <c r="P71" s="6">
        <f t="shared" si="12"/>
        <v>10739805.196831442</v>
      </c>
      <c r="Q71" s="6">
        <f t="shared" si="13"/>
        <v>574406207.53607035</v>
      </c>
      <c r="R71" s="6">
        <f t="shared" si="14"/>
        <v>4216422.0768891964</v>
      </c>
      <c r="S71" s="6">
        <f t="shared" si="15"/>
        <v>-21800.878906101399</v>
      </c>
      <c r="T71" s="6">
        <f t="shared" si="16"/>
        <v>-10739805.196831442</v>
      </c>
      <c r="U71" s="6"/>
      <c r="V71">
        <v>50</v>
      </c>
      <c r="W71" s="6">
        <f t="shared" si="24"/>
        <v>563545461.76407886</v>
      </c>
      <c r="X71" s="6">
        <f t="shared" si="25"/>
        <v>6353403.3486572215</v>
      </c>
      <c r="Y71" s="6">
        <f t="shared" si="26"/>
        <v>569898865.11273611</v>
      </c>
      <c r="Z71" s="6">
        <f t="shared" si="38"/>
        <v>11575665.239051715</v>
      </c>
      <c r="AA71" s="6">
        <f t="shared" si="27"/>
        <v>558323199.87368441</v>
      </c>
      <c r="AB71" s="6">
        <f t="shared" si="28"/>
        <v>5222261.890394493</v>
      </c>
      <c r="AC71" s="6">
        <f t="shared" si="17"/>
        <v>-10739805.196831442</v>
      </c>
      <c r="AD71" s="6"/>
      <c r="AE71" s="6"/>
      <c r="AF71" s="6"/>
      <c r="AH71">
        <v>50</v>
      </c>
      <c r="AI71" s="6">
        <f t="shared" si="18"/>
        <v>701473.13577119482</v>
      </c>
      <c r="AJ71" s="4">
        <f t="shared" si="19"/>
        <v>5593.6452917429842</v>
      </c>
      <c r="AK71" s="6">
        <f t="shared" si="20"/>
        <v>707066.78106293781</v>
      </c>
      <c r="AL71" s="4">
        <f t="shared" si="21"/>
        <v>12977.546329505407</v>
      </c>
      <c r="AM71" s="6">
        <f t="shared" si="22"/>
        <v>694089.23473343241</v>
      </c>
      <c r="AN71" s="6">
        <f t="shared" si="23"/>
        <v>7383.9010377624227</v>
      </c>
    </row>
    <row r="72" spans="2:40" x14ac:dyDescent="0.25">
      <c r="B72">
        <v>51</v>
      </c>
      <c r="C72" s="6">
        <f t="shared" si="33"/>
        <v>1165995.0943152418</v>
      </c>
      <c r="D72" s="4">
        <f t="shared" si="1"/>
        <v>9297.8086214826271</v>
      </c>
      <c r="E72" s="6">
        <f t="shared" si="34"/>
        <v>1175292.9029367245</v>
      </c>
      <c r="F72" s="4">
        <f t="shared" si="35"/>
        <v>21800.878906101399</v>
      </c>
      <c r="G72" s="6">
        <f t="shared" si="36"/>
        <v>1153492.024030623</v>
      </c>
      <c r="H72" s="6">
        <f t="shared" si="37"/>
        <v>12503.070284618772</v>
      </c>
      <c r="I72" s="6">
        <f t="shared" si="5"/>
        <v>494.24450136924492</v>
      </c>
      <c r="J72" s="6">
        <f t="shared" si="6"/>
        <v>574406207.53607035</v>
      </c>
      <c r="K72" s="6">
        <f t="shared" si="7"/>
        <v>4580395.7621266646</v>
      </c>
      <c r="L72" s="6">
        <f t="shared" si="8"/>
        <v>1880456.4527528393</v>
      </c>
      <c r="M72" s="6">
        <f t="shared" si="9"/>
        <v>14995.023824689379</v>
      </c>
      <c r="N72" s="6">
        <f t="shared" si="10"/>
        <v>6475847.2387041934</v>
      </c>
      <c r="O72" s="6">
        <f t="shared" si="11"/>
        <v>580882054.77477455</v>
      </c>
      <c r="P72" s="6">
        <f t="shared" si="12"/>
        <v>10774964.524357377</v>
      </c>
      <c r="Q72" s="6">
        <f t="shared" si="13"/>
        <v>570107090.25041723</v>
      </c>
      <c r="R72" s="6">
        <f t="shared" si="14"/>
        <v>4299117.2856531832</v>
      </c>
      <c r="S72" s="6">
        <f t="shared" si="15"/>
        <v>-21800.878906101399</v>
      </c>
      <c r="T72" s="6">
        <f t="shared" si="16"/>
        <v>-10774964.524357377</v>
      </c>
      <c r="U72" s="6"/>
      <c r="V72">
        <v>51</v>
      </c>
      <c r="W72" s="6">
        <f t="shared" si="24"/>
        <v>558323199.87368441</v>
      </c>
      <c r="X72" s="6">
        <f t="shared" si="25"/>
        <v>6294527.6439747</v>
      </c>
      <c r="Y72" s="6">
        <f t="shared" si="26"/>
        <v>564617727.51765907</v>
      </c>
      <c r="Z72" s="6">
        <f t="shared" si="38"/>
        <v>11575665.239051715</v>
      </c>
      <c r="AA72" s="6">
        <f t="shared" si="27"/>
        <v>553042062.27860737</v>
      </c>
      <c r="AB72" s="6">
        <f t="shared" si="28"/>
        <v>5281137.5950770145</v>
      </c>
      <c r="AC72" s="6">
        <f t="shared" si="17"/>
        <v>-10774964.524357377</v>
      </c>
      <c r="AD72" s="6"/>
      <c r="AE72" s="6"/>
      <c r="AF72" s="6"/>
      <c r="AH72">
        <v>51</v>
      </c>
      <c r="AI72" s="6">
        <f t="shared" si="18"/>
        <v>694089.23473343241</v>
      </c>
      <c r="AJ72" s="4">
        <f t="shared" si="19"/>
        <v>5534.7650279547379</v>
      </c>
      <c r="AK72" s="6">
        <f t="shared" si="20"/>
        <v>699623.99976138712</v>
      </c>
      <c r="AL72" s="4">
        <f t="shared" si="21"/>
        <v>12977.546329505407</v>
      </c>
      <c r="AM72" s="6">
        <f t="shared" si="22"/>
        <v>686646.45343188173</v>
      </c>
      <c r="AN72" s="6">
        <f t="shared" si="23"/>
        <v>7442.781301550669</v>
      </c>
    </row>
    <row r="73" spans="2:40" x14ac:dyDescent="0.25">
      <c r="B73">
        <v>52</v>
      </c>
      <c r="C73" s="6">
        <f t="shared" si="33"/>
        <v>1153492.024030623</v>
      </c>
      <c r="D73" s="4">
        <f t="shared" si="1"/>
        <v>9198.1073832406237</v>
      </c>
      <c r="E73" s="6">
        <f t="shared" si="34"/>
        <v>1162690.1314138637</v>
      </c>
      <c r="F73" s="4">
        <f t="shared" si="35"/>
        <v>21800.878906101399</v>
      </c>
      <c r="G73" s="6">
        <f t="shared" si="36"/>
        <v>1140889.2525077623</v>
      </c>
      <c r="H73" s="6">
        <f t="shared" si="37"/>
        <v>12602.771522860776</v>
      </c>
      <c r="I73" s="6">
        <f t="shared" si="5"/>
        <v>495.86252925551048</v>
      </c>
      <c r="J73" s="6">
        <f t="shared" si="6"/>
        <v>570107090.25041723</v>
      </c>
      <c r="K73" s="6">
        <f t="shared" si="7"/>
        <v>4546113.9971705396</v>
      </c>
      <c r="L73" s="6">
        <f t="shared" si="8"/>
        <v>1866382.2614664577</v>
      </c>
      <c r="M73" s="6">
        <f t="shared" si="9"/>
        <v>14882.794246948519</v>
      </c>
      <c r="N73" s="6">
        <f t="shared" si="10"/>
        <v>6427379.0528839454</v>
      </c>
      <c r="O73" s="6">
        <f t="shared" si="11"/>
        <v>576534469.30330122</v>
      </c>
      <c r="P73" s="6">
        <f t="shared" si="12"/>
        <v>10810238.954372546</v>
      </c>
      <c r="Q73" s="6">
        <f t="shared" si="13"/>
        <v>565724230.34892869</v>
      </c>
      <c r="R73" s="6">
        <f t="shared" si="14"/>
        <v>4382859.9014886003</v>
      </c>
      <c r="S73" s="6">
        <f t="shared" si="15"/>
        <v>-21800.878906101399</v>
      </c>
      <c r="T73" s="6">
        <f t="shared" si="16"/>
        <v>-10810238.954372546</v>
      </c>
      <c r="U73" s="6"/>
      <c r="V73">
        <v>52</v>
      </c>
      <c r="W73" s="6">
        <f t="shared" si="24"/>
        <v>553042062.27860737</v>
      </c>
      <c r="X73" s="6">
        <f t="shared" si="25"/>
        <v>6234988.175452942</v>
      </c>
      <c r="Y73" s="6">
        <f t="shared" si="26"/>
        <v>559277050.45406032</v>
      </c>
      <c r="Z73" s="6">
        <f t="shared" si="38"/>
        <v>11575665.239051715</v>
      </c>
      <c r="AA73" s="6">
        <f t="shared" si="27"/>
        <v>547701385.21500862</v>
      </c>
      <c r="AB73" s="6">
        <f t="shared" si="28"/>
        <v>5340677.0635987725</v>
      </c>
      <c r="AC73" s="6">
        <f t="shared" si="17"/>
        <v>-10810238.954372546</v>
      </c>
      <c r="AD73" s="6"/>
      <c r="AE73" s="6"/>
      <c r="AF73" s="6"/>
      <c r="AH73">
        <v>52</v>
      </c>
      <c r="AI73" s="6">
        <f t="shared" si="18"/>
        <v>686646.45343188173</v>
      </c>
      <c r="AJ73" s="4">
        <f t="shared" si="19"/>
        <v>5475.4152446745538</v>
      </c>
      <c r="AK73" s="6">
        <f t="shared" si="20"/>
        <v>692121.86867655627</v>
      </c>
      <c r="AL73" s="4">
        <f t="shared" si="21"/>
        <v>12977.546329505407</v>
      </c>
      <c r="AM73" s="6">
        <f t="shared" si="22"/>
        <v>679144.32234705088</v>
      </c>
      <c r="AN73" s="6">
        <f t="shared" si="23"/>
        <v>7502.1310848308531</v>
      </c>
    </row>
    <row r="74" spans="2:40" x14ac:dyDescent="0.25">
      <c r="B74">
        <v>53</v>
      </c>
      <c r="C74" s="6">
        <f t="shared" si="33"/>
        <v>1140889.2525077623</v>
      </c>
      <c r="D74" s="4">
        <f t="shared" si="1"/>
        <v>9097.6111133239428</v>
      </c>
      <c r="E74" s="6">
        <f t="shared" si="34"/>
        <v>1149986.8636210861</v>
      </c>
      <c r="F74" s="4">
        <f t="shared" si="35"/>
        <v>21800.878906101399</v>
      </c>
      <c r="G74" s="6">
        <f t="shared" si="36"/>
        <v>1128185.9847149847</v>
      </c>
      <c r="H74" s="6">
        <f t="shared" si="37"/>
        <v>12703.267792777457</v>
      </c>
      <c r="I74" s="6">
        <f t="shared" si="5"/>
        <v>497.48585414403601</v>
      </c>
      <c r="J74" s="6">
        <f t="shared" si="6"/>
        <v>565724230.34892869</v>
      </c>
      <c r="K74" s="6">
        <f t="shared" si="7"/>
        <v>4511164.4568358585</v>
      </c>
      <c r="L74" s="6">
        <f t="shared" si="8"/>
        <v>1852033.9186471503</v>
      </c>
      <c r="M74" s="6">
        <f t="shared" si="9"/>
        <v>14768.378546385307</v>
      </c>
      <c r="N74" s="6">
        <f t="shared" si="10"/>
        <v>6377966.7540293941</v>
      </c>
      <c r="O74" s="6">
        <f t="shared" si="11"/>
        <v>572102197.10295808</v>
      </c>
      <c r="P74" s="6">
        <f t="shared" si="12"/>
        <v>10845628.863692552</v>
      </c>
      <c r="Q74" s="6">
        <f t="shared" si="13"/>
        <v>561256568.23926556</v>
      </c>
      <c r="R74" s="6">
        <f t="shared" si="14"/>
        <v>4467662.1096631577</v>
      </c>
      <c r="S74" s="6">
        <f t="shared" si="15"/>
        <v>-21800.878906101399</v>
      </c>
      <c r="T74" s="6">
        <f t="shared" si="16"/>
        <v>-10845628.863692552</v>
      </c>
      <c r="U74" s="6"/>
      <c r="V74">
        <v>53</v>
      </c>
      <c r="W74" s="6">
        <f t="shared" si="24"/>
        <v>547701385.21500862</v>
      </c>
      <c r="X74" s="6">
        <f t="shared" si="25"/>
        <v>6174777.4598280676</v>
      </c>
      <c r="Y74" s="6">
        <f t="shared" si="26"/>
        <v>553876162.67483664</v>
      </c>
      <c r="Z74" s="6">
        <f t="shared" si="38"/>
        <v>11575665.239051715</v>
      </c>
      <c r="AA74" s="6">
        <f t="shared" si="27"/>
        <v>542300497.43578494</v>
      </c>
      <c r="AB74" s="6">
        <f t="shared" si="28"/>
        <v>5400887.779223647</v>
      </c>
      <c r="AC74" s="6">
        <f t="shared" si="17"/>
        <v>-10845628.863692552</v>
      </c>
      <c r="AD74" s="6"/>
      <c r="AE74" s="6"/>
      <c r="AF74" s="6"/>
      <c r="AH74">
        <v>53</v>
      </c>
      <c r="AI74" s="6">
        <f t="shared" si="18"/>
        <v>679144.32234705088</v>
      </c>
      <c r="AJ74" s="4">
        <f t="shared" si="19"/>
        <v>5415.5921978880688</v>
      </c>
      <c r="AK74" s="6">
        <f t="shared" si="20"/>
        <v>684559.91454493895</v>
      </c>
      <c r="AL74" s="4">
        <f t="shared" si="21"/>
        <v>12977.546329505407</v>
      </c>
      <c r="AM74" s="6">
        <f t="shared" si="22"/>
        <v>671582.36821543355</v>
      </c>
      <c r="AN74" s="6">
        <f t="shared" si="23"/>
        <v>7561.9541316173381</v>
      </c>
    </row>
    <row r="75" spans="2:40" x14ac:dyDescent="0.25">
      <c r="B75">
        <v>54</v>
      </c>
      <c r="C75" s="6">
        <f t="shared" si="33"/>
        <v>1128185.9847149847</v>
      </c>
      <c r="D75" s="4">
        <f t="shared" si="1"/>
        <v>8996.3134720383641</v>
      </c>
      <c r="E75" s="6">
        <f t="shared" si="34"/>
        <v>1137182.298187023</v>
      </c>
      <c r="F75" s="4">
        <f t="shared" si="35"/>
        <v>21800.878906101399</v>
      </c>
      <c r="G75" s="6">
        <f t="shared" si="36"/>
        <v>1115381.4192809216</v>
      </c>
      <c r="H75" s="6">
        <f t="shared" si="37"/>
        <v>12804.565434063035</v>
      </c>
      <c r="I75" s="6">
        <f t="shared" si="5"/>
        <v>499.11449337582854</v>
      </c>
      <c r="J75" s="6">
        <f t="shared" si="6"/>
        <v>561256568.23926556</v>
      </c>
      <c r="K75" s="6">
        <f t="shared" si="7"/>
        <v>4475538.6917845123</v>
      </c>
      <c r="L75" s="6">
        <f t="shared" si="8"/>
        <v>1837407.9554653235</v>
      </c>
      <c r="M75" s="6">
        <f t="shared" si="9"/>
        <v>14651.749062065444</v>
      </c>
      <c r="N75" s="6">
        <f t="shared" si="10"/>
        <v>6327598.3963119006</v>
      </c>
      <c r="O75" s="6">
        <f t="shared" si="11"/>
        <v>567584166.63557744</v>
      </c>
      <c r="P75" s="6">
        <f t="shared" si="12"/>
        <v>10881134.630366588</v>
      </c>
      <c r="Q75" s="6">
        <f t="shared" si="13"/>
        <v>556703032.00521088</v>
      </c>
      <c r="R75" s="6">
        <f t="shared" si="14"/>
        <v>4553536.2340546874</v>
      </c>
      <c r="S75" s="6">
        <f t="shared" si="15"/>
        <v>-21800.878906101399</v>
      </c>
      <c r="T75" s="6">
        <f t="shared" si="16"/>
        <v>-10881134.630366588</v>
      </c>
      <c r="U75" s="6"/>
      <c r="V75">
        <v>54</v>
      </c>
      <c r="W75" s="6">
        <f t="shared" si="24"/>
        <v>542300497.43578494</v>
      </c>
      <c r="X75" s="6">
        <f t="shared" si="25"/>
        <v>6113887.9294699887</v>
      </c>
      <c r="Y75" s="6">
        <f t="shared" si="26"/>
        <v>548414385.36525488</v>
      </c>
      <c r="Z75" s="6">
        <f t="shared" si="38"/>
        <v>11575665.239051715</v>
      </c>
      <c r="AA75" s="6">
        <f t="shared" si="27"/>
        <v>536838720.12620318</v>
      </c>
      <c r="AB75" s="6">
        <f t="shared" si="28"/>
        <v>5461777.3095817259</v>
      </c>
      <c r="AC75" s="6">
        <f t="shared" si="17"/>
        <v>-10881134.630366588</v>
      </c>
      <c r="AD75" s="6"/>
      <c r="AE75" s="6"/>
      <c r="AF75" s="6"/>
      <c r="AH75">
        <v>54</v>
      </c>
      <c r="AI75" s="6">
        <f t="shared" si="18"/>
        <v>671582.36821543355</v>
      </c>
      <c r="AJ75" s="4">
        <f t="shared" si="19"/>
        <v>5355.2921137256235</v>
      </c>
      <c r="AK75" s="6">
        <f t="shared" si="20"/>
        <v>676937.66032915923</v>
      </c>
      <c r="AL75" s="4">
        <f t="shared" si="21"/>
        <v>12977.546329505407</v>
      </c>
      <c r="AM75" s="6">
        <f t="shared" si="22"/>
        <v>663960.11399965384</v>
      </c>
      <c r="AN75" s="6">
        <f t="shared" si="23"/>
        <v>7622.2542157797834</v>
      </c>
    </row>
    <row r="76" spans="2:40" x14ac:dyDescent="0.25">
      <c r="B76">
        <v>55</v>
      </c>
      <c r="C76" s="6">
        <f t="shared" si="33"/>
        <v>1115381.4192809216</v>
      </c>
      <c r="D76" s="4">
        <f t="shared" si="1"/>
        <v>8894.208069136057</v>
      </c>
      <c r="E76" s="6">
        <f t="shared" si="34"/>
        <v>1124275.6273500577</v>
      </c>
      <c r="F76" s="4">
        <f t="shared" si="35"/>
        <v>21800.878906101399</v>
      </c>
      <c r="G76" s="6">
        <f t="shared" si="36"/>
        <v>1102474.7484439563</v>
      </c>
      <c r="H76" s="6">
        <f t="shared" si="37"/>
        <v>12906.670836965342</v>
      </c>
      <c r="I76" s="6">
        <f t="shared" si="5"/>
        <v>500.74846434866504</v>
      </c>
      <c r="J76" s="6">
        <f t="shared" si="6"/>
        <v>556703032.00521088</v>
      </c>
      <c r="K76" s="6">
        <f t="shared" si="7"/>
        <v>4439228.1544060586</v>
      </c>
      <c r="L76" s="6">
        <f t="shared" si="8"/>
        <v>1822500.8627462143</v>
      </c>
      <c r="M76" s="6">
        <f t="shared" si="9"/>
        <v>14532.877811336579</v>
      </c>
      <c r="N76" s="6">
        <f t="shared" si="10"/>
        <v>6276261.89496361</v>
      </c>
      <c r="O76" s="6">
        <f t="shared" si="11"/>
        <v>562979293.9001745</v>
      </c>
      <c r="P76" s="6">
        <f t="shared" si="12"/>
        <v>10916756.63368148</v>
      </c>
      <c r="Q76" s="6">
        <f t="shared" si="13"/>
        <v>552062537.26649296</v>
      </c>
      <c r="R76" s="6">
        <f t="shared" si="14"/>
        <v>4640494.7387178699</v>
      </c>
      <c r="S76" s="6">
        <f t="shared" si="15"/>
        <v>-21800.878906101399</v>
      </c>
      <c r="T76" s="6">
        <f t="shared" si="16"/>
        <v>-10916756.63368148</v>
      </c>
      <c r="U76" s="6"/>
      <c r="V76">
        <v>55</v>
      </c>
      <c r="W76" s="6">
        <f t="shared" si="24"/>
        <v>536838720.12620318</v>
      </c>
      <c r="X76" s="6">
        <f t="shared" si="25"/>
        <v>6052311.9314312646</v>
      </c>
      <c r="Y76" s="6">
        <f t="shared" si="26"/>
        <v>542891032.05763447</v>
      </c>
      <c r="Z76" s="6">
        <f t="shared" si="38"/>
        <v>11575665.239051715</v>
      </c>
      <c r="AA76" s="6">
        <f t="shared" si="27"/>
        <v>531315366.81858277</v>
      </c>
      <c r="AB76" s="6">
        <f t="shared" si="28"/>
        <v>5523353.3076204499</v>
      </c>
      <c r="AC76" s="6">
        <f t="shared" si="17"/>
        <v>-10916756.63368148</v>
      </c>
      <c r="AD76" s="6"/>
      <c r="AE76" s="6"/>
      <c r="AF76" s="6"/>
      <c r="AH76">
        <v>55</v>
      </c>
      <c r="AI76" s="6">
        <f t="shared" si="18"/>
        <v>663960.11399965384</v>
      </c>
      <c r="AJ76" s="4">
        <f t="shared" si="19"/>
        <v>5294.5111882241918</v>
      </c>
      <c r="AK76" s="6">
        <f t="shared" si="20"/>
        <v>669254.62518787803</v>
      </c>
      <c r="AL76" s="4">
        <f t="shared" si="21"/>
        <v>12977.546329505407</v>
      </c>
      <c r="AM76" s="6">
        <f t="shared" si="22"/>
        <v>656277.07885837264</v>
      </c>
      <c r="AN76" s="6">
        <f t="shared" si="23"/>
        <v>7683.0351412812151</v>
      </c>
    </row>
    <row r="77" spans="2:40" x14ac:dyDescent="0.25">
      <c r="B77">
        <v>56</v>
      </c>
      <c r="C77" s="6">
        <f t="shared" si="33"/>
        <v>1102474.7484439563</v>
      </c>
      <c r="D77" s="4">
        <f t="shared" si="1"/>
        <v>8791.2884634124584</v>
      </c>
      <c r="E77" s="6">
        <f t="shared" si="34"/>
        <v>1111266.0369073688</v>
      </c>
      <c r="F77" s="4">
        <f t="shared" si="35"/>
        <v>21800.878906101399</v>
      </c>
      <c r="G77" s="6">
        <f t="shared" si="36"/>
        <v>1089465.1580012674</v>
      </c>
      <c r="H77" s="6">
        <f t="shared" si="37"/>
        <v>13009.590442688941</v>
      </c>
      <c r="I77" s="6">
        <f t="shared" si="5"/>
        <v>502.38778451727831</v>
      </c>
      <c r="J77" s="6">
        <f t="shared" si="6"/>
        <v>552062537.26649296</v>
      </c>
      <c r="K77" s="6">
        <f t="shared" si="7"/>
        <v>4402224.1976999324</v>
      </c>
      <c r="L77" s="6">
        <f t="shared" si="8"/>
        <v>1807309.0905109888</v>
      </c>
      <c r="M77" s="6">
        <f t="shared" si="9"/>
        <v>14411.736486168968</v>
      </c>
      <c r="N77" s="6">
        <f t="shared" si="10"/>
        <v>6223945.0246970896</v>
      </c>
      <c r="O77" s="6">
        <f t="shared" si="11"/>
        <v>558286482.29119003</v>
      </c>
      <c r="P77" s="6">
        <f t="shared" si="12"/>
        <v>10952495.254165748</v>
      </c>
      <c r="Q77" s="6">
        <f t="shared" si="13"/>
        <v>547333987.03702426</v>
      </c>
      <c r="R77" s="6">
        <f t="shared" si="14"/>
        <v>4728550.2294686586</v>
      </c>
      <c r="S77" s="6">
        <f t="shared" si="15"/>
        <v>-21800.878906101399</v>
      </c>
      <c r="T77" s="6">
        <f t="shared" si="16"/>
        <v>-10952495.254165748</v>
      </c>
      <c r="U77" s="6"/>
      <c r="V77">
        <v>56</v>
      </c>
      <c r="W77" s="6">
        <f t="shared" si="24"/>
        <v>531315366.81858277</v>
      </c>
      <c r="X77" s="6">
        <f t="shared" si="25"/>
        <v>5990041.7264852384</v>
      </c>
      <c r="Y77" s="6">
        <f t="shared" si="26"/>
        <v>537305408.54506803</v>
      </c>
      <c r="Z77" s="6">
        <f t="shared" si="38"/>
        <v>11575665.239051715</v>
      </c>
      <c r="AA77" s="6">
        <f t="shared" si="27"/>
        <v>525729743.30601633</v>
      </c>
      <c r="AB77" s="6">
        <f t="shared" si="28"/>
        <v>5585623.5125664761</v>
      </c>
      <c r="AC77" s="6">
        <f t="shared" si="17"/>
        <v>-10952495.254165748</v>
      </c>
      <c r="AD77" s="6"/>
      <c r="AE77" s="6"/>
      <c r="AF77" s="6"/>
      <c r="AH77">
        <v>56</v>
      </c>
      <c r="AI77" s="6">
        <f t="shared" si="18"/>
        <v>656277.07885837264</v>
      </c>
      <c r="AJ77" s="4">
        <f t="shared" si="19"/>
        <v>5233.2455870874128</v>
      </c>
      <c r="AK77" s="6">
        <f t="shared" si="20"/>
        <v>661510.32444546011</v>
      </c>
      <c r="AL77" s="4">
        <f t="shared" si="21"/>
        <v>12977.546329505407</v>
      </c>
      <c r="AM77" s="6">
        <f t="shared" si="22"/>
        <v>648532.77811595472</v>
      </c>
      <c r="AN77" s="6">
        <f t="shared" si="23"/>
        <v>7744.3007424179941</v>
      </c>
    </row>
    <row r="78" spans="2:40" x14ac:dyDescent="0.25">
      <c r="B78">
        <v>57</v>
      </c>
      <c r="C78" s="6">
        <f t="shared" si="33"/>
        <v>1089465.1580012674</v>
      </c>
      <c r="D78" s="4">
        <f t="shared" si="1"/>
        <v>8687.5481622999341</v>
      </c>
      <c r="E78" s="6">
        <f t="shared" si="34"/>
        <v>1098152.7061635673</v>
      </c>
      <c r="F78" s="4">
        <f t="shared" si="35"/>
        <v>21800.878906101399</v>
      </c>
      <c r="G78" s="6">
        <f t="shared" si="36"/>
        <v>1076351.8272574658</v>
      </c>
      <c r="H78" s="6">
        <f t="shared" si="37"/>
        <v>13113.330743801465</v>
      </c>
      <c r="I78" s="6">
        <f t="shared" si="5"/>
        <v>504.03247139354329</v>
      </c>
      <c r="J78" s="6">
        <f t="shared" si="6"/>
        <v>547333987.03702426</v>
      </c>
      <c r="K78" s="6">
        <f t="shared" si="7"/>
        <v>4364518.0741450237</v>
      </c>
      <c r="L78" s="6">
        <f t="shared" si="8"/>
        <v>1791829.0475126512</v>
      </c>
      <c r="M78" s="6">
        <f t="shared" si="9"/>
        <v>14288.296449454756</v>
      </c>
      <c r="N78" s="6">
        <f t="shared" si="10"/>
        <v>6170635.4181071296</v>
      </c>
      <c r="O78" s="6">
        <f t="shared" si="11"/>
        <v>553504622.45513141</v>
      </c>
      <c r="P78" s="6">
        <f t="shared" si="12"/>
        <v>10988350.873593654</v>
      </c>
      <c r="Q78" s="6">
        <f t="shared" si="13"/>
        <v>542516271.58153772</v>
      </c>
      <c r="R78" s="6">
        <f t="shared" si="14"/>
        <v>4817715.4554865249</v>
      </c>
      <c r="S78" s="6">
        <f t="shared" si="15"/>
        <v>-21800.878906101399</v>
      </c>
      <c r="T78" s="6">
        <f t="shared" si="16"/>
        <v>-10988350.873593654</v>
      </c>
      <c r="U78" s="6"/>
      <c r="V78">
        <v>57</v>
      </c>
      <c r="W78" s="6">
        <f t="shared" si="24"/>
        <v>525729743.30601633</v>
      </c>
      <c r="X78" s="6">
        <f t="shared" si="25"/>
        <v>5927069.4881533207</v>
      </c>
      <c r="Y78" s="6">
        <f t="shared" si="26"/>
        <v>531656812.79416966</v>
      </c>
      <c r="Z78" s="6">
        <f t="shared" si="38"/>
        <v>11575665.239051715</v>
      </c>
      <c r="AA78" s="6">
        <f t="shared" si="27"/>
        <v>520081147.55511796</v>
      </c>
      <c r="AB78" s="6">
        <f t="shared" si="28"/>
        <v>5648595.7508983938</v>
      </c>
      <c r="AC78" s="6">
        <f t="shared" si="17"/>
        <v>-10988350.873593654</v>
      </c>
      <c r="AD78" s="6"/>
      <c r="AE78" s="6"/>
      <c r="AF78" s="6"/>
      <c r="AH78">
        <v>57</v>
      </c>
      <c r="AI78" s="6">
        <f t="shared" si="18"/>
        <v>648532.77811595472</v>
      </c>
      <c r="AJ78" s="4">
        <f t="shared" si="19"/>
        <v>5171.4914454437094</v>
      </c>
      <c r="AK78" s="6">
        <f t="shared" si="20"/>
        <v>653704.26956139843</v>
      </c>
      <c r="AL78" s="4">
        <f t="shared" si="21"/>
        <v>12977.546329505407</v>
      </c>
      <c r="AM78" s="6">
        <f t="shared" si="22"/>
        <v>640726.72323189303</v>
      </c>
      <c r="AN78" s="6">
        <f t="shared" si="23"/>
        <v>7806.0548840616975</v>
      </c>
    </row>
    <row r="79" spans="2:40" x14ac:dyDescent="0.25">
      <c r="B79">
        <v>58</v>
      </c>
      <c r="C79" s="6">
        <f t="shared" si="33"/>
        <v>1076351.8272574658</v>
      </c>
      <c r="D79" s="4">
        <f t="shared" si="1"/>
        <v>8582.9806214581986</v>
      </c>
      <c r="E79" s="6">
        <f t="shared" si="34"/>
        <v>1084934.8078789241</v>
      </c>
      <c r="F79" s="4">
        <f t="shared" si="35"/>
        <v>21800.878906101399</v>
      </c>
      <c r="G79" s="6">
        <f t="shared" si="36"/>
        <v>1063133.9289728226</v>
      </c>
      <c r="H79" s="6">
        <f t="shared" si="37"/>
        <v>13217.898284643201</v>
      </c>
      <c r="I79" s="6">
        <f t="shared" si="5"/>
        <v>505.68254254666437</v>
      </c>
      <c r="J79" s="6">
        <f t="shared" si="6"/>
        <v>542516271.58153772</v>
      </c>
      <c r="K79" s="6">
        <f t="shared" si="7"/>
        <v>4326100.934556474</v>
      </c>
      <c r="L79" s="6">
        <f t="shared" si="8"/>
        <v>1776057.1007667105</v>
      </c>
      <c r="M79" s="6">
        <f t="shared" si="9"/>
        <v>14162.528731265431</v>
      </c>
      <c r="N79" s="6">
        <f t="shared" si="10"/>
        <v>6116320.56405445</v>
      </c>
      <c r="O79" s="6">
        <f t="shared" si="11"/>
        <v>548632592.14559221</v>
      </c>
      <c r="P79" s="6">
        <f t="shared" si="12"/>
        <v>11024323.874989299</v>
      </c>
      <c r="Q79" s="6">
        <f t="shared" si="13"/>
        <v>537608268.27060294</v>
      </c>
      <c r="R79" s="6">
        <f t="shared" si="14"/>
        <v>4908003.3109348491</v>
      </c>
      <c r="S79" s="6">
        <f t="shared" si="15"/>
        <v>-21800.878906101399</v>
      </c>
      <c r="T79" s="6">
        <f t="shared" si="16"/>
        <v>-11024323.874989299</v>
      </c>
      <c r="U79" s="6"/>
      <c r="V79">
        <v>58</v>
      </c>
      <c r="W79" s="6">
        <f t="shared" si="24"/>
        <v>520081147.55511796</v>
      </c>
      <c r="X79" s="6">
        <f t="shared" si="25"/>
        <v>5863387.3017213186</v>
      </c>
      <c r="Y79" s="6">
        <f t="shared" si="26"/>
        <v>525944534.8568393</v>
      </c>
      <c r="Z79" s="6">
        <f t="shared" si="38"/>
        <v>11575665.239051715</v>
      </c>
      <c r="AA79" s="6">
        <f t="shared" si="27"/>
        <v>514368869.6177876</v>
      </c>
      <c r="AB79" s="6">
        <f t="shared" si="28"/>
        <v>5712277.9373303959</v>
      </c>
      <c r="AC79" s="6">
        <f t="shared" si="17"/>
        <v>-11024323.874989299</v>
      </c>
      <c r="AD79" s="6"/>
      <c r="AE79" s="6"/>
      <c r="AF79" s="6"/>
      <c r="AH79">
        <v>58</v>
      </c>
      <c r="AI79" s="6">
        <f t="shared" si="18"/>
        <v>640726.72323189303</v>
      </c>
      <c r="AJ79" s="4">
        <f t="shared" si="19"/>
        <v>5109.2448676024705</v>
      </c>
      <c r="AK79" s="6">
        <f t="shared" si="20"/>
        <v>645835.96809949551</v>
      </c>
      <c r="AL79" s="4">
        <f t="shared" si="21"/>
        <v>12977.546329505407</v>
      </c>
      <c r="AM79" s="6">
        <f t="shared" si="22"/>
        <v>632858.42176999012</v>
      </c>
      <c r="AN79" s="6">
        <f t="shared" si="23"/>
        <v>7868.3014619029364</v>
      </c>
    </row>
    <row r="80" spans="2:40" x14ac:dyDescent="0.25">
      <c r="B80">
        <v>59</v>
      </c>
      <c r="C80" s="6">
        <f t="shared" si="33"/>
        <v>1063133.9289728226</v>
      </c>
      <c r="D80" s="4">
        <f t="shared" si="1"/>
        <v>8477.5792443614882</v>
      </c>
      <c r="E80" s="6">
        <f t="shared" si="34"/>
        <v>1071611.5082171841</v>
      </c>
      <c r="F80" s="4">
        <f t="shared" si="35"/>
        <v>21800.878906101399</v>
      </c>
      <c r="G80" s="6">
        <f t="shared" si="36"/>
        <v>1049810.6293110827</v>
      </c>
      <c r="H80" s="6">
        <f t="shared" si="37"/>
        <v>13323.299661739911</v>
      </c>
      <c r="I80" s="6">
        <f t="shared" si="5"/>
        <v>507.33801560336286</v>
      </c>
      <c r="J80" s="6">
        <f t="shared" si="6"/>
        <v>537608268.27060294</v>
      </c>
      <c r="K80" s="6">
        <f t="shared" si="7"/>
        <v>4286963.8269295553</v>
      </c>
      <c r="L80" s="6">
        <f t="shared" si="8"/>
        <v>1759989.5750765393</v>
      </c>
      <c r="M80" s="6">
        <f t="shared" si="9"/>
        <v>14034.404025066988</v>
      </c>
      <c r="N80" s="6">
        <f t="shared" si="10"/>
        <v>6060987.806031161</v>
      </c>
      <c r="O80" s="6">
        <f t="shared" si="11"/>
        <v>543669256.07663405</v>
      </c>
      <c r="P80" s="6">
        <f t="shared" si="12"/>
        <v>11060414.642630696</v>
      </c>
      <c r="Q80" s="6">
        <f t="shared" si="13"/>
        <v>532608841.43400335</v>
      </c>
      <c r="R80" s="6">
        <f t="shared" si="14"/>
        <v>4999426.8365995353</v>
      </c>
      <c r="S80" s="6">
        <f t="shared" si="15"/>
        <v>-21800.878906101399</v>
      </c>
      <c r="T80" s="6">
        <f t="shared" si="16"/>
        <v>-11060414.642630696</v>
      </c>
      <c r="U80" s="6"/>
      <c r="V80">
        <v>59</v>
      </c>
      <c r="W80" s="6">
        <f t="shared" si="24"/>
        <v>514368869.6177876</v>
      </c>
      <c r="X80" s="6">
        <f t="shared" si="25"/>
        <v>5798987.1632446665</v>
      </c>
      <c r="Y80" s="6">
        <f t="shared" si="26"/>
        <v>520167856.78103226</v>
      </c>
      <c r="Z80" s="6">
        <f t="shared" si="38"/>
        <v>11575665.239051715</v>
      </c>
      <c r="AA80" s="6">
        <f t="shared" si="27"/>
        <v>508592191.54198056</v>
      </c>
      <c r="AB80" s="6">
        <f t="shared" si="28"/>
        <v>5776678.075807048</v>
      </c>
      <c r="AC80" s="6">
        <f t="shared" si="17"/>
        <v>-11060414.642630696</v>
      </c>
      <c r="AD80" s="6"/>
      <c r="AE80" s="6"/>
      <c r="AF80" s="6"/>
      <c r="AH80">
        <v>59</v>
      </c>
      <c r="AI80" s="6">
        <f t="shared" si="18"/>
        <v>632858.42176999012</v>
      </c>
      <c r="AJ80" s="4">
        <f t="shared" si="19"/>
        <v>5046.5019268083088</v>
      </c>
      <c r="AK80" s="6">
        <f t="shared" si="20"/>
        <v>637904.92369679839</v>
      </c>
      <c r="AL80" s="4">
        <f t="shared" si="21"/>
        <v>12977.546329505407</v>
      </c>
      <c r="AM80" s="6">
        <f t="shared" si="22"/>
        <v>624927.377367293</v>
      </c>
      <c r="AN80" s="6">
        <f t="shared" si="23"/>
        <v>7931.0444026970981</v>
      </c>
    </row>
    <row r="81" spans="2:40" x14ac:dyDescent="0.25">
      <c r="B81">
        <v>60</v>
      </c>
      <c r="C81" s="6">
        <f t="shared" si="33"/>
        <v>1049810.6293110827</v>
      </c>
      <c r="D81" s="4">
        <f t="shared" si="1"/>
        <v>8371.3373818824075</v>
      </c>
      <c r="E81" s="6">
        <f t="shared" si="34"/>
        <v>1058181.966692965</v>
      </c>
      <c r="F81" s="4">
        <f t="shared" si="35"/>
        <v>21800.878906101399</v>
      </c>
      <c r="G81" s="6">
        <f t="shared" si="36"/>
        <v>1036381.0877868636</v>
      </c>
      <c r="H81" s="6">
        <f t="shared" si="37"/>
        <v>13429.541524218992</v>
      </c>
      <c r="I81" s="6">
        <f t="shared" si="5"/>
        <v>508.99890824806545</v>
      </c>
      <c r="J81" s="6">
        <f t="shared" si="6"/>
        <v>532608841.43400335</v>
      </c>
      <c r="K81" s="6">
        <f t="shared" si="7"/>
        <v>4247097.6952704806</v>
      </c>
      <c r="L81" s="6">
        <f t="shared" si="8"/>
        <v>1743622.7525533703</v>
      </c>
      <c r="M81" s="6">
        <f t="shared" si="9"/>
        <v>13903.892683892294</v>
      </c>
      <c r="N81" s="6">
        <f t="shared" si="10"/>
        <v>6004624.3405077439</v>
      </c>
      <c r="O81" s="6">
        <f t="shared" si="11"/>
        <v>538613465.7745111</v>
      </c>
      <c r="P81" s="6">
        <f t="shared" si="12"/>
        <v>11096623.562053891</v>
      </c>
      <c r="Q81" s="6">
        <f t="shared" si="13"/>
        <v>527516842.21245718</v>
      </c>
      <c r="R81" s="6">
        <f t="shared" si="14"/>
        <v>5091999.221546147</v>
      </c>
      <c r="S81" s="6">
        <f t="shared" si="15"/>
        <v>-21800.878906101399</v>
      </c>
      <c r="T81" s="6">
        <f t="shared" si="16"/>
        <v>-11096623.562053891</v>
      </c>
      <c r="U81" s="6"/>
      <c r="V81">
        <v>60</v>
      </c>
      <c r="W81" s="6">
        <f t="shared" si="24"/>
        <v>508592191.54198056</v>
      </c>
      <c r="X81" s="6">
        <f t="shared" si="25"/>
        <v>5733860.9785424434</v>
      </c>
      <c r="Y81" s="6">
        <f t="shared" si="26"/>
        <v>514326052.52052301</v>
      </c>
      <c r="Z81" s="6">
        <f t="shared" si="38"/>
        <v>11575665.239051715</v>
      </c>
      <c r="AA81" s="6">
        <f t="shared" si="27"/>
        <v>502750387.28147131</v>
      </c>
      <c r="AB81" s="6">
        <f t="shared" si="28"/>
        <v>5841804.2605092712</v>
      </c>
      <c r="AC81" s="6">
        <f t="shared" si="17"/>
        <v>-11096623.562053891</v>
      </c>
      <c r="AD81" s="6"/>
      <c r="AE81" s="6"/>
      <c r="AF81" s="6"/>
      <c r="AH81">
        <v>60</v>
      </c>
      <c r="AI81" s="6">
        <f t="shared" si="18"/>
        <v>624927.377367293</v>
      </c>
      <c r="AJ81" s="4">
        <f t="shared" si="19"/>
        <v>4983.2586649933301</v>
      </c>
      <c r="AK81" s="6">
        <f t="shared" si="20"/>
        <v>629910.63603228633</v>
      </c>
      <c r="AL81" s="4">
        <f t="shared" si="21"/>
        <v>12977.546329505407</v>
      </c>
      <c r="AM81" s="6">
        <f t="shared" si="22"/>
        <v>616933.08970278094</v>
      </c>
      <c r="AN81" s="6">
        <f t="shared" si="23"/>
        <v>7994.2876645120768</v>
      </c>
    </row>
    <row r="82" spans="2:40" x14ac:dyDescent="0.25">
      <c r="B82">
        <v>61</v>
      </c>
      <c r="C82" s="6">
        <f t="shared" si="33"/>
        <v>1036381.0877868636</v>
      </c>
      <c r="D82" s="4">
        <f t="shared" si="1"/>
        <v>8264.2483318724899</v>
      </c>
      <c r="E82" s="6">
        <f t="shared" si="34"/>
        <v>1044645.3361187361</v>
      </c>
      <c r="F82" s="4">
        <f t="shared" si="35"/>
        <v>21800.878906101399</v>
      </c>
      <c r="G82" s="6">
        <f t="shared" si="36"/>
        <v>1022844.4572126346</v>
      </c>
      <c r="H82" s="6">
        <f t="shared" si="37"/>
        <v>13536.63057422891</v>
      </c>
      <c r="I82" s="6">
        <f t="shared" si="5"/>
        <v>510.66523822309296</v>
      </c>
      <c r="J82" s="6">
        <f t="shared" si="6"/>
        <v>527516842.21245718</v>
      </c>
      <c r="K82" s="6">
        <f t="shared" si="7"/>
        <v>4206493.3784140022</v>
      </c>
      <c r="L82" s="6">
        <f t="shared" si="8"/>
        <v>1726952.8721308687</v>
      </c>
      <c r="M82" s="6">
        <f t="shared" si="9"/>
        <v>13770.964716470231</v>
      </c>
      <c r="N82" s="6">
        <f t="shared" si="10"/>
        <v>5947217.2152613411</v>
      </c>
      <c r="O82" s="6">
        <f t="shared" si="11"/>
        <v>533464059.42771852</v>
      </c>
      <c r="P82" s="6">
        <f t="shared" si="12"/>
        <v>11132951.020057073</v>
      </c>
      <c r="Q82" s="6">
        <f t="shared" si="13"/>
        <v>522331108.40766144</v>
      </c>
      <c r="R82" s="6">
        <f t="shared" si="14"/>
        <v>5185733.8047957318</v>
      </c>
      <c r="S82" s="6">
        <f t="shared" si="15"/>
        <v>-21800.878906101399</v>
      </c>
      <c r="T82" s="6">
        <f t="shared" si="16"/>
        <v>-11132951.020057073</v>
      </c>
      <c r="U82" s="6"/>
      <c r="V82">
        <v>61</v>
      </c>
      <c r="W82" s="6">
        <f t="shared" si="24"/>
        <v>502750387.28147131</v>
      </c>
      <c r="X82" s="6">
        <f t="shared" si="25"/>
        <v>5668000.5621800497</v>
      </c>
      <c r="Y82" s="6">
        <f t="shared" si="26"/>
        <v>508418387.84365135</v>
      </c>
      <c r="Z82" s="6">
        <f t="shared" si="38"/>
        <v>11575665.239051715</v>
      </c>
      <c r="AA82" s="6">
        <f t="shared" si="27"/>
        <v>496842722.60459965</v>
      </c>
      <c r="AB82" s="6">
        <f t="shared" si="28"/>
        <v>5907664.6768716648</v>
      </c>
      <c r="AC82" s="6">
        <f t="shared" si="17"/>
        <v>-11132951.020057073</v>
      </c>
      <c r="AD82" s="6"/>
      <c r="AE82" s="6"/>
      <c r="AF82" s="6"/>
      <c r="AH82">
        <v>61</v>
      </c>
      <c r="AI82" s="6">
        <f t="shared" si="18"/>
        <v>616933.08970278094</v>
      </c>
      <c r="AJ82" s="4">
        <f t="shared" si="19"/>
        <v>4919.5110925274585</v>
      </c>
      <c r="AK82" s="6">
        <f t="shared" si="20"/>
        <v>621852.60079530836</v>
      </c>
      <c r="AL82" s="4">
        <f t="shared" si="21"/>
        <v>12977.546329505407</v>
      </c>
      <c r="AM82" s="6">
        <f t="shared" si="22"/>
        <v>608875.05446580297</v>
      </c>
      <c r="AN82" s="6">
        <f t="shared" si="23"/>
        <v>8058.0352369779484</v>
      </c>
    </row>
    <row r="83" spans="2:40" x14ac:dyDescent="0.25">
      <c r="B83">
        <v>62</v>
      </c>
      <c r="C83" s="6">
        <f t="shared" si="33"/>
        <v>1022844.4572126346</v>
      </c>
      <c r="D83" s="4">
        <f t="shared" si="1"/>
        <v>8156.3053387393966</v>
      </c>
      <c r="E83" s="6">
        <f t="shared" si="34"/>
        <v>1031000.762551374</v>
      </c>
      <c r="F83" s="4">
        <f t="shared" si="35"/>
        <v>21800.878906101399</v>
      </c>
      <c r="G83" s="6">
        <f t="shared" si="36"/>
        <v>1009199.8836452726</v>
      </c>
      <c r="H83" s="6">
        <f t="shared" si="37"/>
        <v>13644.573567362004</v>
      </c>
      <c r="I83" s="6">
        <f t="shared" si="5"/>
        <v>512.33702332885002</v>
      </c>
      <c r="J83" s="6">
        <f t="shared" si="6"/>
        <v>522331108.40766144</v>
      </c>
      <c r="K83" s="6">
        <f t="shared" si="7"/>
        <v>4165141.6088276478</v>
      </c>
      <c r="L83" s="6">
        <f t="shared" si="8"/>
        <v>1709976.1290742152</v>
      </c>
      <c r="M83" s="6">
        <f t="shared" si="9"/>
        <v>13635.589783311059</v>
      </c>
      <c r="N83" s="6">
        <f t="shared" si="10"/>
        <v>5888753.3276851736</v>
      </c>
      <c r="O83" s="6">
        <f t="shared" si="11"/>
        <v>528219861.73534662</v>
      </c>
      <c r="P83" s="6">
        <f t="shared" si="12"/>
        <v>11169397.404704707</v>
      </c>
      <c r="Q83" s="6">
        <f t="shared" si="13"/>
        <v>517050464.33064193</v>
      </c>
      <c r="R83" s="6">
        <f t="shared" si="14"/>
        <v>5280644.0770195331</v>
      </c>
      <c r="S83" s="6">
        <f t="shared" si="15"/>
        <v>-21800.878906101399</v>
      </c>
      <c r="T83" s="6">
        <f t="shared" si="16"/>
        <v>-11169397.404704707</v>
      </c>
      <c r="U83" s="6"/>
      <c r="V83">
        <v>62</v>
      </c>
      <c r="W83" s="6">
        <f t="shared" si="24"/>
        <v>496842722.60459965</v>
      </c>
      <c r="X83" s="6">
        <f t="shared" si="25"/>
        <v>5601397.6364404159</v>
      </c>
      <c r="Y83" s="6">
        <f t="shared" si="26"/>
        <v>502444120.24104005</v>
      </c>
      <c r="Z83" s="6">
        <f t="shared" si="38"/>
        <v>11575665.239051715</v>
      </c>
      <c r="AA83" s="6">
        <f t="shared" si="27"/>
        <v>490868455.00198835</v>
      </c>
      <c r="AB83" s="6">
        <f t="shared" si="28"/>
        <v>5974267.6026112987</v>
      </c>
      <c r="AC83" s="6">
        <f t="shared" si="17"/>
        <v>-11169397.404704707</v>
      </c>
      <c r="AD83" s="6"/>
      <c r="AE83" s="6"/>
      <c r="AF83" s="6"/>
      <c r="AH83">
        <v>62</v>
      </c>
      <c r="AI83" s="6">
        <f t="shared" si="18"/>
        <v>608875.05446580297</v>
      </c>
      <c r="AJ83" s="4">
        <f t="shared" si="19"/>
        <v>4855.2551879667408</v>
      </c>
      <c r="AK83" s="6">
        <f t="shared" si="20"/>
        <v>613730.30965376971</v>
      </c>
      <c r="AL83" s="4">
        <f t="shared" si="21"/>
        <v>12977.546329505407</v>
      </c>
      <c r="AM83" s="6">
        <f t="shared" si="22"/>
        <v>600752.76332426432</v>
      </c>
      <c r="AN83" s="6">
        <f t="shared" si="23"/>
        <v>8122.2911415386661</v>
      </c>
    </row>
    <row r="84" spans="2:40" x14ac:dyDescent="0.25">
      <c r="B84">
        <v>63</v>
      </c>
      <c r="C84" s="6">
        <f t="shared" si="33"/>
        <v>1009199.8836452726</v>
      </c>
      <c r="D84" s="4">
        <f t="shared" si="1"/>
        <v>8047.5015930207428</v>
      </c>
      <c r="E84" s="6">
        <f t="shared" si="34"/>
        <v>1017247.3852382933</v>
      </c>
      <c r="F84" s="4">
        <f t="shared" si="35"/>
        <v>21800.878906101399</v>
      </c>
      <c r="G84" s="6">
        <f t="shared" si="36"/>
        <v>995446.50633219187</v>
      </c>
      <c r="H84" s="6">
        <f t="shared" si="37"/>
        <v>13753.377313080657</v>
      </c>
      <c r="I84" s="6">
        <f t="shared" si="5"/>
        <v>514.01428142401505</v>
      </c>
      <c r="J84" s="6">
        <f t="shared" si="6"/>
        <v>517050464.33064193</v>
      </c>
      <c r="K84" s="6">
        <f t="shared" si="7"/>
        <v>4123033.0114024356</v>
      </c>
      <c r="L84" s="6">
        <f t="shared" si="8"/>
        <v>1692688.6744836434</v>
      </c>
      <c r="M84" s="6">
        <f t="shared" si="9"/>
        <v>13497.737192747543</v>
      </c>
      <c r="N84" s="6">
        <f t="shared" si="10"/>
        <v>5829219.4230788266</v>
      </c>
      <c r="O84" s="6">
        <f t="shared" si="11"/>
        <v>522879683.75372076</v>
      </c>
      <c r="P84" s="6">
        <f t="shared" si="12"/>
        <v>11205963.105331678</v>
      </c>
      <c r="Q84" s="6">
        <f t="shared" si="13"/>
        <v>511673720.6483891</v>
      </c>
      <c r="R84" s="6">
        <f t="shared" si="14"/>
        <v>5376743.6822528513</v>
      </c>
      <c r="S84" s="6">
        <f t="shared" si="15"/>
        <v>-21800.878906101399</v>
      </c>
      <c r="T84" s="6">
        <f t="shared" si="16"/>
        <v>-11205963.105331678</v>
      </c>
      <c r="U84" s="6"/>
      <c r="V84">
        <v>63</v>
      </c>
      <c r="W84" s="6">
        <f t="shared" si="24"/>
        <v>490868455.00198835</v>
      </c>
      <c r="X84" s="6">
        <f t="shared" si="25"/>
        <v>5534043.8302836111</v>
      </c>
      <c r="Y84" s="6">
        <f t="shared" si="26"/>
        <v>496402498.83227193</v>
      </c>
      <c r="Z84" s="6">
        <f t="shared" si="38"/>
        <v>11575665.239051715</v>
      </c>
      <c r="AA84" s="6">
        <f t="shared" si="27"/>
        <v>484826833.59322023</v>
      </c>
      <c r="AB84" s="6">
        <f t="shared" si="28"/>
        <v>6041621.4087681035</v>
      </c>
      <c r="AC84" s="6">
        <f t="shared" si="17"/>
        <v>-11205963.105331678</v>
      </c>
      <c r="AD84" s="6"/>
      <c r="AE84" s="6"/>
      <c r="AF84" s="6"/>
      <c r="AH84">
        <v>63</v>
      </c>
      <c r="AI84" s="6">
        <f t="shared" si="18"/>
        <v>600752.76332426432</v>
      </c>
      <c r="AJ84" s="4">
        <f t="shared" si="19"/>
        <v>4790.4868977996703</v>
      </c>
      <c r="AK84" s="6">
        <f t="shared" si="20"/>
        <v>605543.25022206397</v>
      </c>
      <c r="AL84" s="4">
        <f t="shared" si="21"/>
        <v>12977.546329505407</v>
      </c>
      <c r="AM84" s="6">
        <f t="shared" si="22"/>
        <v>592565.70389255858</v>
      </c>
      <c r="AN84" s="6">
        <f t="shared" si="23"/>
        <v>8187.0594317057366</v>
      </c>
    </row>
    <row r="85" spans="2:40" x14ac:dyDescent="0.25">
      <c r="B85">
        <v>64</v>
      </c>
      <c r="C85" s="6">
        <f t="shared" si="33"/>
        <v>995446.50633219187</v>
      </c>
      <c r="D85" s="4">
        <f t="shared" si="1"/>
        <v>7937.8302309545379</v>
      </c>
      <c r="E85" s="6">
        <f t="shared" si="34"/>
        <v>1003384.3365631464</v>
      </c>
      <c r="F85" s="4">
        <f t="shared" si="35"/>
        <v>21800.878906101399</v>
      </c>
      <c r="G85" s="6">
        <f t="shared" si="36"/>
        <v>981583.45765704499</v>
      </c>
      <c r="H85" s="6">
        <f t="shared" si="37"/>
        <v>13863.048675146862</v>
      </c>
      <c r="I85" s="6">
        <f t="shared" si="5"/>
        <v>515.69703042573121</v>
      </c>
      <c r="J85" s="6">
        <f t="shared" si="6"/>
        <v>511673720.6483891</v>
      </c>
      <c r="K85" s="6">
        <f t="shared" si="7"/>
        <v>4080158.1022299305</v>
      </c>
      <c r="L85" s="6">
        <f t="shared" si="8"/>
        <v>1675086.6147923656</v>
      </c>
      <c r="M85" s="6">
        <f t="shared" si="9"/>
        <v>13357.375896931349</v>
      </c>
      <c r="N85" s="6">
        <f t="shared" si="10"/>
        <v>5768602.0929192267</v>
      </c>
      <c r="O85" s="6">
        <f t="shared" si="11"/>
        <v>517442322.74130833</v>
      </c>
      <c r="P85" s="6">
        <f t="shared" si="12"/>
        <v>11242648.512547456</v>
      </c>
      <c r="Q85" s="6">
        <f t="shared" si="13"/>
        <v>506199674.2287609</v>
      </c>
      <c r="R85" s="6">
        <f t="shared" si="14"/>
        <v>5474046.419628229</v>
      </c>
      <c r="S85" s="6">
        <f t="shared" si="15"/>
        <v>-21800.878906101399</v>
      </c>
      <c r="T85" s="6">
        <f t="shared" si="16"/>
        <v>-11242648.512547456</v>
      </c>
      <c r="U85" s="6"/>
      <c r="V85">
        <v>64</v>
      </c>
      <c r="W85" s="6">
        <f t="shared" si="24"/>
        <v>484826833.59322023</v>
      </c>
      <c r="X85" s="6">
        <f t="shared" si="25"/>
        <v>5465930.6782947201</v>
      </c>
      <c r="Y85" s="6">
        <f t="shared" si="26"/>
        <v>490292764.27151495</v>
      </c>
      <c r="Z85" s="6">
        <f t="shared" si="38"/>
        <v>11575665.239051715</v>
      </c>
      <c r="AA85" s="6">
        <f t="shared" si="27"/>
        <v>478717099.03246325</v>
      </c>
      <c r="AB85" s="6">
        <f t="shared" si="28"/>
        <v>6109734.5607569944</v>
      </c>
      <c r="AC85" s="6">
        <f t="shared" si="17"/>
        <v>-11242648.512547456</v>
      </c>
      <c r="AD85" s="6"/>
      <c r="AE85" s="6"/>
      <c r="AF85" s="6"/>
      <c r="AH85">
        <v>64</v>
      </c>
      <c r="AI85" s="6">
        <f t="shared" si="18"/>
        <v>592565.70389255858</v>
      </c>
      <c r="AJ85" s="4">
        <f t="shared" si="19"/>
        <v>4725.2021361914676</v>
      </c>
      <c r="AK85" s="6">
        <f t="shared" si="20"/>
        <v>597290.90602875</v>
      </c>
      <c r="AL85" s="4">
        <f t="shared" si="21"/>
        <v>12977.546329505407</v>
      </c>
      <c r="AM85" s="6">
        <f t="shared" si="22"/>
        <v>584313.35969924461</v>
      </c>
      <c r="AN85" s="6">
        <f t="shared" si="23"/>
        <v>8252.3441933139402</v>
      </c>
    </row>
    <row r="86" spans="2:40" x14ac:dyDescent="0.25">
      <c r="B86">
        <v>65</v>
      </c>
      <c r="C86" s="6">
        <f t="shared" si="33"/>
        <v>981583.45765704499</v>
      </c>
      <c r="D86" s="4">
        <f t="shared" si="1"/>
        <v>7827.2843340461886</v>
      </c>
      <c r="E86" s="6">
        <f t="shared" si="34"/>
        <v>989410.74199109117</v>
      </c>
      <c r="F86" s="4">
        <f t="shared" si="35"/>
        <v>21800.878906101399</v>
      </c>
      <c r="G86" s="6">
        <f t="shared" si="36"/>
        <v>967609.86308498972</v>
      </c>
      <c r="H86" s="6">
        <f t="shared" si="37"/>
        <v>13973.594572055212</v>
      </c>
      <c r="I86" s="6">
        <f t="shared" si="5"/>
        <v>517.38528830979783</v>
      </c>
      <c r="J86" s="6">
        <f t="shared" si="6"/>
        <v>506199674.2287609</v>
      </c>
      <c r="K86" s="6">
        <f t="shared" si="7"/>
        <v>4036507.2873654771</v>
      </c>
      <c r="L86" s="6">
        <f t="shared" si="8"/>
        <v>1657166.0112588252</v>
      </c>
      <c r="M86" s="6">
        <f t="shared" si="9"/>
        <v>13214.474487784188</v>
      </c>
      <c r="N86" s="6">
        <f t="shared" si="10"/>
        <v>5706887.7731120866</v>
      </c>
      <c r="O86" s="6">
        <f t="shared" si="11"/>
        <v>511906562.00187296</v>
      </c>
      <c r="P86" s="6">
        <f t="shared" si="12"/>
        <v>11279454.018240262</v>
      </c>
      <c r="Q86" s="6">
        <f t="shared" si="13"/>
        <v>500627107.98363268</v>
      </c>
      <c r="R86" s="6">
        <f t="shared" si="14"/>
        <v>5572566.2451281752</v>
      </c>
      <c r="S86" s="6">
        <f t="shared" si="15"/>
        <v>-21800.878906101399</v>
      </c>
      <c r="T86" s="6">
        <f t="shared" si="16"/>
        <v>-11279454.018240262</v>
      </c>
      <c r="U86" s="6"/>
      <c r="V86">
        <v>65</v>
      </c>
      <c r="W86" s="6">
        <f t="shared" si="24"/>
        <v>478717099.03246325</v>
      </c>
      <c r="X86" s="6">
        <f t="shared" si="25"/>
        <v>5397049.619619864</v>
      </c>
      <c r="Y86" s="6">
        <f t="shared" si="26"/>
        <v>484114148.6520831</v>
      </c>
      <c r="Z86" s="6">
        <f t="shared" si="38"/>
        <v>11575665.239051715</v>
      </c>
      <c r="AA86" s="6">
        <f t="shared" si="27"/>
        <v>472538483.4130314</v>
      </c>
      <c r="AB86" s="6">
        <f t="shared" si="28"/>
        <v>6178615.6194318505</v>
      </c>
      <c r="AC86" s="6">
        <f t="shared" si="17"/>
        <v>-11279454.018240262</v>
      </c>
      <c r="AD86" s="6"/>
      <c r="AE86" s="6"/>
      <c r="AF86" s="6"/>
      <c r="AH86">
        <v>65</v>
      </c>
      <c r="AI86" s="6">
        <f t="shared" si="18"/>
        <v>584313.35969924461</v>
      </c>
      <c r="AJ86" s="4">
        <f t="shared" si="19"/>
        <v>4659.3967847263339</v>
      </c>
      <c r="AK86" s="6">
        <f t="shared" si="20"/>
        <v>588972.75648397091</v>
      </c>
      <c r="AL86" s="4">
        <f t="shared" si="21"/>
        <v>12977.546329505407</v>
      </c>
      <c r="AM86" s="6">
        <f t="shared" si="22"/>
        <v>575995.21015446552</v>
      </c>
      <c r="AN86" s="6">
        <f t="shared" si="23"/>
        <v>8318.149544779073</v>
      </c>
    </row>
    <row r="87" spans="2:40" x14ac:dyDescent="0.25">
      <c r="B87">
        <v>66</v>
      </c>
      <c r="C87" s="6">
        <f t="shared" si="33"/>
        <v>967609.86308498972</v>
      </c>
      <c r="D87" s="4">
        <f t="shared" ref="D87:D141" si="39">+C87*$C$13</f>
        <v>7715.8569286320526</v>
      </c>
      <c r="E87" s="6">
        <f t="shared" si="34"/>
        <v>975325.72001362173</v>
      </c>
      <c r="F87" s="4">
        <f t="shared" si="35"/>
        <v>21800.878906101399</v>
      </c>
      <c r="G87" s="6">
        <f t="shared" si="36"/>
        <v>953524.84110752027</v>
      </c>
      <c r="H87" s="6">
        <f t="shared" si="37"/>
        <v>14085.021977469347</v>
      </c>
      <c r="I87" s="6">
        <f t="shared" ref="I87:I141" si="40">+I86*(1+$L$17)</f>
        <v>519.07907311086205</v>
      </c>
      <c r="J87" s="6">
        <f t="shared" ref="J87:J141" si="41">+Q86</f>
        <v>500627107.98363268</v>
      </c>
      <c r="K87" s="6">
        <f t="shared" ref="K87:K141" si="42">+J87*$C$13</f>
        <v>3992070.8615774559</v>
      </c>
      <c r="L87" s="6">
        <f t="shared" ref="L87:L141" si="43">+J87*$L$17</f>
        <v>1638922.8794532102</v>
      </c>
      <c r="M87" s="6">
        <f t="shared" ref="M87:M141" si="44">+$L$17*K87</f>
        <v>13069.001192903213</v>
      </c>
      <c r="N87" s="6">
        <f t="shared" ref="N87:N141" si="45">+M87+K87+L87</f>
        <v>5644062.7422235692</v>
      </c>
      <c r="O87" s="6">
        <f t="shared" ref="O87:O141" si="46">+J87+N87</f>
        <v>506271170.72585624</v>
      </c>
      <c r="P87" s="6">
        <f t="shared" ref="P87:P141" si="47">+F87*I87</f>
        <v>11316380.01558126</v>
      </c>
      <c r="Q87" s="6">
        <f t="shared" ref="Q87:Q141" si="48">+O87-P87</f>
        <v>494954790.71027499</v>
      </c>
      <c r="R87" s="6">
        <f t="shared" ref="R87:R141" si="49">+P87-N87</f>
        <v>5672317.2733576903</v>
      </c>
      <c r="S87" s="6">
        <f t="shared" ref="S87:S141" si="50">-F87</f>
        <v>-21800.878906101399</v>
      </c>
      <c r="T87" s="6">
        <f t="shared" ref="T87:T141" si="51">-P87</f>
        <v>-11316380.01558126</v>
      </c>
      <c r="U87" s="6"/>
      <c r="V87">
        <v>66</v>
      </c>
      <c r="W87" s="6">
        <f t="shared" si="24"/>
        <v>472538483.4130314</v>
      </c>
      <c r="X87" s="6">
        <f t="shared" si="25"/>
        <v>5327391.9968902227</v>
      </c>
      <c r="Y87" s="6">
        <f t="shared" si="26"/>
        <v>477865875.40992165</v>
      </c>
      <c r="Z87" s="6">
        <f t="shared" si="38"/>
        <v>11575665.239051715</v>
      </c>
      <c r="AA87" s="6">
        <f t="shared" si="27"/>
        <v>466290210.17086995</v>
      </c>
      <c r="AB87" s="6">
        <f t="shared" si="28"/>
        <v>6248273.2421614919</v>
      </c>
      <c r="AC87" s="6">
        <f t="shared" ref="AC87:AC141" si="52">-P87</f>
        <v>-11316380.01558126</v>
      </c>
      <c r="AD87" s="6"/>
      <c r="AE87" s="6"/>
      <c r="AF87" s="6"/>
      <c r="AH87">
        <v>66</v>
      </c>
      <c r="AI87" s="6">
        <f t="shared" ref="AI87:AI141" si="53">+AM86</f>
        <v>575995.21015446552</v>
      </c>
      <c r="AJ87" s="4">
        <f t="shared" ref="AJ87:AJ141" si="54">+AI87*$C$13</f>
        <v>4593.0666921476432</v>
      </c>
      <c r="AK87" s="6">
        <f t="shared" ref="AK87:AK141" si="55">+AI87+AJ87</f>
        <v>580588.27684661315</v>
      </c>
      <c r="AL87" s="4">
        <f t="shared" ref="AL87:AL141" si="56">+$AJ$15</f>
        <v>12977.546329505407</v>
      </c>
      <c r="AM87" s="6">
        <f t="shared" ref="AM87:AM141" si="57">+AK87-AL87</f>
        <v>567610.73051710776</v>
      </c>
      <c r="AN87" s="6">
        <f t="shared" ref="AN87:AN141" si="58">+AL87-AJ87</f>
        <v>8384.4796373577628</v>
      </c>
    </row>
    <row r="88" spans="2:40" x14ac:dyDescent="0.25">
      <c r="B88">
        <v>67</v>
      </c>
      <c r="C88" s="6">
        <f t="shared" si="33"/>
        <v>953524.84110752027</v>
      </c>
      <c r="D88" s="4">
        <f t="shared" si="39"/>
        <v>7603.5409854395157</v>
      </c>
      <c r="E88" s="6">
        <f t="shared" si="34"/>
        <v>961128.38209295983</v>
      </c>
      <c r="F88" s="4">
        <f t="shared" si="35"/>
        <v>21800.878906101399</v>
      </c>
      <c r="G88" s="6">
        <f t="shared" si="36"/>
        <v>939327.50318685838</v>
      </c>
      <c r="H88" s="6">
        <f t="shared" si="37"/>
        <v>14197.337920661885</v>
      </c>
      <c r="I88" s="6">
        <f t="shared" si="40"/>
        <v>520.77840292261203</v>
      </c>
      <c r="J88" s="6">
        <f t="shared" si="41"/>
        <v>494954790.71027499</v>
      </c>
      <c r="K88" s="6">
        <f t="shared" si="42"/>
        <v>3946839.007082405</v>
      </c>
      <c r="L88" s="6">
        <f t="shared" si="43"/>
        <v>1620353.188738165</v>
      </c>
      <c r="M88" s="6">
        <f t="shared" si="44"/>
        <v>12920.923871420133</v>
      </c>
      <c r="N88" s="6">
        <f t="shared" si="45"/>
        <v>5580113.1196919903</v>
      </c>
      <c r="O88" s="6">
        <f t="shared" si="46"/>
        <v>500534903.82996696</v>
      </c>
      <c r="P88" s="6">
        <f t="shared" si="47"/>
        <v>11353426.899028748</v>
      </c>
      <c r="Q88" s="6">
        <f t="shared" si="48"/>
        <v>489181476.93093824</v>
      </c>
      <c r="R88" s="6">
        <f t="shared" si="49"/>
        <v>5773313.779336758</v>
      </c>
      <c r="S88" s="6">
        <f t="shared" si="50"/>
        <v>-21800.878906101399</v>
      </c>
      <c r="T88" s="6">
        <f t="shared" si="51"/>
        <v>-11353426.899028748</v>
      </c>
      <c r="U88" s="6"/>
      <c r="V88">
        <v>67</v>
      </c>
      <c r="W88" s="6">
        <f t="shared" ref="W88:W141" si="59">+AA87</f>
        <v>466290210.17086995</v>
      </c>
      <c r="X88" s="6">
        <f t="shared" ref="X88:X141" si="60">+W88*$W$11</f>
        <v>5256949.055133923</v>
      </c>
      <c r="Y88" s="6">
        <f t="shared" ref="Y88:Y141" si="61">+W88+X88</f>
        <v>471547159.22600389</v>
      </c>
      <c r="Z88" s="6">
        <f t="shared" si="38"/>
        <v>11575665.239051715</v>
      </c>
      <c r="AA88" s="6">
        <f t="shared" ref="AA88:AA141" si="62">+Y88-Z88</f>
        <v>459971493.98695219</v>
      </c>
      <c r="AB88" s="6">
        <f t="shared" ref="AB88:AB141" si="63">+Z88-X88</f>
        <v>6318716.1839177916</v>
      </c>
      <c r="AC88" s="6">
        <f t="shared" si="52"/>
        <v>-11353426.899028748</v>
      </c>
      <c r="AD88" s="6"/>
      <c r="AE88" s="6"/>
      <c r="AF88" s="6"/>
      <c r="AH88">
        <v>67</v>
      </c>
      <c r="AI88" s="6">
        <f t="shared" si="53"/>
        <v>567610.73051710776</v>
      </c>
      <c r="AJ88" s="4">
        <f t="shared" si="54"/>
        <v>4526.2076740960683</v>
      </c>
      <c r="AK88" s="6">
        <f t="shared" si="55"/>
        <v>572136.93819120387</v>
      </c>
      <c r="AL88" s="4">
        <f t="shared" si="56"/>
        <v>12977.546329505407</v>
      </c>
      <c r="AM88" s="6">
        <f t="shared" si="57"/>
        <v>559159.39186169847</v>
      </c>
      <c r="AN88" s="6">
        <f t="shared" si="58"/>
        <v>8451.3386554093377</v>
      </c>
    </row>
    <row r="89" spans="2:40" x14ac:dyDescent="0.25">
      <c r="B89">
        <v>68</v>
      </c>
      <c r="C89" s="6">
        <f t="shared" si="33"/>
        <v>939327.50318685838</v>
      </c>
      <c r="D89" s="4">
        <f t="shared" si="39"/>
        <v>7490.3294191435571</v>
      </c>
      <c r="E89" s="6">
        <f t="shared" si="34"/>
        <v>946817.83260600199</v>
      </c>
      <c r="F89" s="4">
        <f t="shared" si="35"/>
        <v>21800.878906101399</v>
      </c>
      <c r="G89" s="6">
        <f t="shared" si="36"/>
        <v>925016.95369990054</v>
      </c>
      <c r="H89" s="6">
        <f t="shared" si="37"/>
        <v>14310.549486957843</v>
      </c>
      <c r="I89" s="6">
        <f t="shared" si="40"/>
        <v>522.48329589796981</v>
      </c>
      <c r="J89" s="6">
        <f t="shared" si="41"/>
        <v>489181476.93093824</v>
      </c>
      <c r="K89" s="6">
        <f t="shared" si="42"/>
        <v>3900801.7922658487</v>
      </c>
      <c r="L89" s="6">
        <f t="shared" si="43"/>
        <v>1601452.8617436332</v>
      </c>
      <c r="M89" s="6">
        <f t="shared" si="44"/>
        <v>12770.210009813534</v>
      </c>
      <c r="N89" s="6">
        <f t="shared" si="45"/>
        <v>5515024.8640192952</v>
      </c>
      <c r="O89" s="6">
        <f t="shared" si="46"/>
        <v>494696501.79495752</v>
      </c>
      <c r="P89" s="6">
        <f t="shared" si="47"/>
        <v>11390595.064332386</v>
      </c>
      <c r="Q89" s="6">
        <f t="shared" si="48"/>
        <v>483305906.73062515</v>
      </c>
      <c r="R89" s="6">
        <f t="shared" si="49"/>
        <v>5875570.2003130913</v>
      </c>
      <c r="S89" s="6">
        <f t="shared" si="50"/>
        <v>-21800.878906101399</v>
      </c>
      <c r="T89" s="6">
        <f t="shared" si="51"/>
        <v>-11390595.064332386</v>
      </c>
      <c r="U89" s="6"/>
      <c r="V89">
        <v>68</v>
      </c>
      <c r="W89" s="6">
        <f t="shared" si="59"/>
        <v>459971493.98695219</v>
      </c>
      <c r="X89" s="6">
        <f t="shared" si="60"/>
        <v>5185711.9406756684</v>
      </c>
      <c r="Y89" s="6">
        <f t="shared" si="61"/>
        <v>465157205.92762786</v>
      </c>
      <c r="Z89" s="6">
        <f t="shared" si="38"/>
        <v>11575665.239051715</v>
      </c>
      <c r="AA89" s="6">
        <f t="shared" si="62"/>
        <v>453581540.68857616</v>
      </c>
      <c r="AB89" s="6">
        <f t="shared" si="63"/>
        <v>6389953.2983760461</v>
      </c>
      <c r="AC89" s="6">
        <f t="shared" si="52"/>
        <v>-11390595.064332386</v>
      </c>
      <c r="AD89" s="6"/>
      <c r="AE89" s="6"/>
      <c r="AF89" s="6"/>
      <c r="AH89">
        <v>68</v>
      </c>
      <c r="AI89" s="6">
        <f t="shared" si="53"/>
        <v>559159.39186169847</v>
      </c>
      <c r="AJ89" s="4">
        <f t="shared" si="54"/>
        <v>4458.8155128456119</v>
      </c>
      <c r="AK89" s="6">
        <f t="shared" si="55"/>
        <v>563618.20737454412</v>
      </c>
      <c r="AL89" s="4">
        <f t="shared" si="56"/>
        <v>12977.546329505407</v>
      </c>
      <c r="AM89" s="6">
        <f t="shared" si="57"/>
        <v>550640.66104503872</v>
      </c>
      <c r="AN89" s="6">
        <f t="shared" si="58"/>
        <v>8518.7308166597941</v>
      </c>
    </row>
    <row r="90" spans="2:40" x14ac:dyDescent="0.25">
      <c r="B90">
        <v>69</v>
      </c>
      <c r="C90" s="6">
        <f t="shared" si="33"/>
        <v>925016.95369990054</v>
      </c>
      <c r="D90" s="4">
        <f t="shared" si="39"/>
        <v>7376.2150879197779</v>
      </c>
      <c r="E90" s="6">
        <f t="shared" si="34"/>
        <v>932393.16878782026</v>
      </c>
      <c r="F90" s="4">
        <f t="shared" si="35"/>
        <v>21800.878906101399</v>
      </c>
      <c r="G90" s="6">
        <f t="shared" si="36"/>
        <v>910592.28988171881</v>
      </c>
      <c r="H90" s="6">
        <f t="shared" si="37"/>
        <v>14424.663818181622</v>
      </c>
      <c r="I90" s="6">
        <f t="shared" si="40"/>
        <v>524.19377024928542</v>
      </c>
      <c r="J90" s="6">
        <f t="shared" si="41"/>
        <v>483305906.73062515</v>
      </c>
      <c r="K90" s="6">
        <f t="shared" si="42"/>
        <v>3853949.1703886702</v>
      </c>
      <c r="L90" s="6">
        <f t="shared" si="43"/>
        <v>1582217.7738357657</v>
      </c>
      <c r="M90" s="6">
        <f t="shared" si="44"/>
        <v>12616.826717673892</v>
      </c>
      <c r="N90" s="6">
        <f t="shared" si="45"/>
        <v>5448783.7709421096</v>
      </c>
      <c r="O90" s="6">
        <f t="shared" si="46"/>
        <v>488754690.50156724</v>
      </c>
      <c r="P90" s="6">
        <f t="shared" si="47"/>
        <v>11427884.90853741</v>
      </c>
      <c r="Q90" s="6">
        <f t="shared" si="48"/>
        <v>477326805.59302986</v>
      </c>
      <c r="R90" s="6">
        <f t="shared" si="49"/>
        <v>5979101.1375953006</v>
      </c>
      <c r="S90" s="6">
        <f t="shared" si="50"/>
        <v>-21800.878906101399</v>
      </c>
      <c r="T90" s="6">
        <f t="shared" si="51"/>
        <v>-11427884.90853741</v>
      </c>
      <c r="U90" s="6"/>
      <c r="V90">
        <v>69</v>
      </c>
      <c r="W90" s="6">
        <f t="shared" si="59"/>
        <v>453581540.68857616</v>
      </c>
      <c r="X90" s="6">
        <f t="shared" si="60"/>
        <v>5113671.7000239538</v>
      </c>
      <c r="Y90" s="6">
        <f t="shared" si="61"/>
        <v>458695212.38860011</v>
      </c>
      <c r="Z90" s="6">
        <f t="shared" si="38"/>
        <v>11575665.239051715</v>
      </c>
      <c r="AA90" s="6">
        <f t="shared" si="62"/>
        <v>447119547.14954841</v>
      </c>
      <c r="AB90" s="6">
        <f t="shared" si="63"/>
        <v>6461993.5390277607</v>
      </c>
      <c r="AC90" s="6">
        <f t="shared" si="52"/>
        <v>-11427884.90853741</v>
      </c>
      <c r="AD90" s="6"/>
      <c r="AE90" s="6"/>
      <c r="AF90" s="6"/>
      <c r="AH90">
        <v>69</v>
      </c>
      <c r="AI90" s="6">
        <f t="shared" si="53"/>
        <v>550640.66104503872</v>
      </c>
      <c r="AJ90" s="4">
        <f t="shared" si="54"/>
        <v>4390.8859570375371</v>
      </c>
      <c r="AK90" s="6">
        <f t="shared" si="55"/>
        <v>555031.54700207629</v>
      </c>
      <c r="AL90" s="4">
        <f t="shared" si="56"/>
        <v>12977.546329505407</v>
      </c>
      <c r="AM90" s="6">
        <f t="shared" si="57"/>
        <v>542054.0006725709</v>
      </c>
      <c r="AN90" s="6">
        <f t="shared" si="58"/>
        <v>8586.6603724678698</v>
      </c>
    </row>
    <row r="91" spans="2:40" x14ac:dyDescent="0.25">
      <c r="B91">
        <v>70</v>
      </c>
      <c r="C91" s="6">
        <f t="shared" si="33"/>
        <v>910592.28988171881</v>
      </c>
      <c r="D91" s="4">
        <f t="shared" si="39"/>
        <v>7261.1907929938698</v>
      </c>
      <c r="E91" s="6">
        <f t="shared" si="34"/>
        <v>917853.48067471269</v>
      </c>
      <c r="F91" s="4">
        <f t="shared" si="35"/>
        <v>21800.878906101399</v>
      </c>
      <c r="G91" s="6">
        <f t="shared" si="36"/>
        <v>896052.60176861123</v>
      </c>
      <c r="H91" s="6">
        <f t="shared" si="37"/>
        <v>14539.68811310753</v>
      </c>
      <c r="I91" s="6">
        <f t="shared" si="40"/>
        <v>525.90984424853139</v>
      </c>
      <c r="J91" s="6">
        <f t="shared" si="41"/>
        <v>477326805.59302986</v>
      </c>
      <c r="K91" s="6">
        <f t="shared" si="42"/>
        <v>3806270.978278867</v>
      </c>
      <c r="L91" s="6">
        <f t="shared" si="43"/>
        <v>1562643.7525798292</v>
      </c>
      <c r="M91" s="6">
        <f t="shared" si="44"/>
        <v>12460.740723420708</v>
      </c>
      <c r="N91" s="6">
        <f t="shared" si="45"/>
        <v>5381375.4715821166</v>
      </c>
      <c r="O91" s="6">
        <f t="shared" si="46"/>
        <v>482708181.06461197</v>
      </c>
      <c r="P91" s="6">
        <f t="shared" si="47"/>
        <v>11465296.82998888</v>
      </c>
      <c r="Q91" s="6">
        <f t="shared" si="48"/>
        <v>471242884.23462307</v>
      </c>
      <c r="R91" s="6">
        <f t="shared" si="49"/>
        <v>6083921.3584067635</v>
      </c>
      <c r="S91" s="6">
        <f t="shared" si="50"/>
        <v>-21800.878906101399</v>
      </c>
      <c r="T91" s="6">
        <f t="shared" si="51"/>
        <v>-11465296.82998888</v>
      </c>
      <c r="U91" s="6"/>
      <c r="V91">
        <v>70</v>
      </c>
      <c r="W91" s="6">
        <f t="shared" si="59"/>
        <v>447119547.14954841</v>
      </c>
      <c r="X91" s="6">
        <f t="shared" si="60"/>
        <v>5040819.2787457434</v>
      </c>
      <c r="Y91" s="6">
        <f t="shared" si="61"/>
        <v>452160366.42829418</v>
      </c>
      <c r="Z91" s="6">
        <f t="shared" si="38"/>
        <v>11575665.239051715</v>
      </c>
      <c r="AA91" s="6">
        <f t="shared" si="62"/>
        <v>440584701.18924248</v>
      </c>
      <c r="AB91" s="6">
        <f t="shared" si="63"/>
        <v>6534845.9603059711</v>
      </c>
      <c r="AC91" s="6">
        <f t="shared" si="52"/>
        <v>-11465296.82998888</v>
      </c>
      <c r="AD91" s="6"/>
      <c r="AE91" s="6"/>
      <c r="AF91" s="6"/>
      <c r="AH91">
        <v>70</v>
      </c>
      <c r="AI91" s="6">
        <f t="shared" si="53"/>
        <v>542054.0006725709</v>
      </c>
      <c r="AJ91" s="4">
        <f t="shared" si="54"/>
        <v>4322.4147214121758</v>
      </c>
      <c r="AK91" s="6">
        <f t="shared" si="55"/>
        <v>546376.41539398301</v>
      </c>
      <c r="AL91" s="4">
        <f t="shared" si="56"/>
        <v>12977.546329505407</v>
      </c>
      <c r="AM91" s="6">
        <f t="shared" si="57"/>
        <v>533398.86906447762</v>
      </c>
      <c r="AN91" s="6">
        <f t="shared" si="58"/>
        <v>8655.1316080932302</v>
      </c>
    </row>
    <row r="92" spans="2:40" x14ac:dyDescent="0.25">
      <c r="B92">
        <v>71</v>
      </c>
      <c r="C92" s="6">
        <f t="shared" si="33"/>
        <v>896052.60176861123</v>
      </c>
      <c r="D92" s="4">
        <f t="shared" si="39"/>
        <v>7145.2492781874871</v>
      </c>
      <c r="E92" s="6">
        <f t="shared" si="34"/>
        <v>903197.85104679875</v>
      </c>
      <c r="F92" s="4">
        <f t="shared" si="35"/>
        <v>21800.878906101399</v>
      </c>
      <c r="G92" s="6">
        <f t="shared" si="36"/>
        <v>881396.9721406973</v>
      </c>
      <c r="H92" s="6">
        <f t="shared" si="37"/>
        <v>14655.629627913913</v>
      </c>
      <c r="I92" s="6">
        <f t="shared" si="40"/>
        <v>527.6315362274978</v>
      </c>
      <c r="J92" s="6">
        <f t="shared" si="41"/>
        <v>471242884.23462307</v>
      </c>
      <c r="K92" s="6">
        <f t="shared" si="42"/>
        <v>3757756.935008524</v>
      </c>
      <c r="L92" s="6">
        <f t="shared" si="43"/>
        <v>1542726.5771970432</v>
      </c>
      <c r="M92" s="6">
        <f t="shared" si="44"/>
        <v>12301.918369971267</v>
      </c>
      <c r="N92" s="6">
        <f t="shared" si="45"/>
        <v>5312785.4305755384</v>
      </c>
      <c r="O92" s="6">
        <f t="shared" si="46"/>
        <v>476555669.66519862</v>
      </c>
      <c r="P92" s="6">
        <f t="shared" si="47"/>
        <v>11502831.228335934</v>
      </c>
      <c r="Q92" s="6">
        <f t="shared" si="48"/>
        <v>465052838.43686271</v>
      </c>
      <c r="R92" s="6">
        <f t="shared" si="49"/>
        <v>6190045.7977603953</v>
      </c>
      <c r="S92" s="6">
        <f t="shared" si="50"/>
        <v>-21800.878906101399</v>
      </c>
      <c r="T92" s="6">
        <f t="shared" si="51"/>
        <v>-11502831.228335934</v>
      </c>
      <c r="U92" s="6"/>
      <c r="V92">
        <v>71</v>
      </c>
      <c r="W92" s="6">
        <f t="shared" si="59"/>
        <v>440584701.18924248</v>
      </c>
      <c r="X92" s="6">
        <f t="shared" si="60"/>
        <v>4967145.5203284537</v>
      </c>
      <c r="Y92" s="6">
        <f t="shared" si="61"/>
        <v>445551846.70957094</v>
      </c>
      <c r="Z92" s="6">
        <f t="shared" si="38"/>
        <v>11575665.239051715</v>
      </c>
      <c r="AA92" s="6">
        <f t="shared" si="62"/>
        <v>433976181.47051924</v>
      </c>
      <c r="AB92" s="6">
        <f t="shared" si="63"/>
        <v>6608519.7187232608</v>
      </c>
      <c r="AC92" s="6">
        <f t="shared" si="52"/>
        <v>-11502831.228335934</v>
      </c>
      <c r="AD92" s="6"/>
      <c r="AE92" s="6"/>
      <c r="AF92" s="6"/>
      <c r="AH92">
        <v>71</v>
      </c>
      <c r="AI92" s="6">
        <f t="shared" si="53"/>
        <v>533398.86906447762</v>
      </c>
      <c r="AJ92" s="4">
        <f t="shared" si="54"/>
        <v>4253.3974865385962</v>
      </c>
      <c r="AK92" s="6">
        <f t="shared" si="55"/>
        <v>537652.26655101625</v>
      </c>
      <c r="AL92" s="4">
        <f t="shared" si="56"/>
        <v>12977.546329505407</v>
      </c>
      <c r="AM92" s="6">
        <f t="shared" si="57"/>
        <v>524674.72022151086</v>
      </c>
      <c r="AN92" s="6">
        <f t="shared" si="58"/>
        <v>8724.1488429668098</v>
      </c>
    </row>
    <row r="93" spans="2:40" x14ac:dyDescent="0.25">
      <c r="B93">
        <v>72</v>
      </c>
      <c r="C93" s="6">
        <f t="shared" si="33"/>
        <v>881396.9721406973</v>
      </c>
      <c r="D93" s="4">
        <f t="shared" si="39"/>
        <v>7028.383229460499</v>
      </c>
      <c r="E93" s="6">
        <f t="shared" si="34"/>
        <v>888425.35537015775</v>
      </c>
      <c r="F93" s="4">
        <f t="shared" si="35"/>
        <v>21800.878906101399</v>
      </c>
      <c r="G93" s="6">
        <f t="shared" si="36"/>
        <v>866624.47646405629</v>
      </c>
      <c r="H93" s="6">
        <f t="shared" si="37"/>
        <v>14772.495676640901</v>
      </c>
      <c r="I93" s="6">
        <f t="shared" si="40"/>
        <v>529.35886457798847</v>
      </c>
      <c r="J93" s="6">
        <f t="shared" si="41"/>
        <v>465052838.43686271</v>
      </c>
      <c r="K93" s="6">
        <f t="shared" si="42"/>
        <v>3708396.6405558372</v>
      </c>
      <c r="L93" s="6">
        <f t="shared" si="43"/>
        <v>1522461.978015282</v>
      </c>
      <c r="M93" s="6">
        <f t="shared" si="44"/>
        <v>12140.325610360453</v>
      </c>
      <c r="N93" s="6">
        <f t="shared" si="45"/>
        <v>5242998.9441814795</v>
      </c>
      <c r="O93" s="6">
        <f t="shared" si="46"/>
        <v>470295837.38104421</v>
      </c>
      <c r="P93" s="6">
        <f t="shared" si="47"/>
        <v>11540488.504536057</v>
      </c>
      <c r="Q93" s="6">
        <f t="shared" si="48"/>
        <v>458755348.87650818</v>
      </c>
      <c r="R93" s="6">
        <f t="shared" si="49"/>
        <v>6297489.5603545774</v>
      </c>
      <c r="S93" s="6">
        <f t="shared" si="50"/>
        <v>-21800.878906101399</v>
      </c>
      <c r="T93" s="6">
        <f t="shared" si="51"/>
        <v>-11540488.504536057</v>
      </c>
      <c r="U93" s="6"/>
      <c r="V93">
        <v>72</v>
      </c>
      <c r="W93" s="6">
        <f t="shared" si="59"/>
        <v>433976181.47051924</v>
      </c>
      <c r="X93" s="6">
        <f t="shared" si="60"/>
        <v>4892641.1650291104</v>
      </c>
      <c r="Y93" s="6">
        <f t="shared" si="61"/>
        <v>438868822.63554835</v>
      </c>
      <c r="Z93" s="6">
        <f t="shared" si="38"/>
        <v>11575665.239051715</v>
      </c>
      <c r="AA93" s="6">
        <f t="shared" si="62"/>
        <v>427293157.39649665</v>
      </c>
      <c r="AB93" s="6">
        <f t="shared" si="63"/>
        <v>6683024.0740226042</v>
      </c>
      <c r="AC93" s="6">
        <f t="shared" si="52"/>
        <v>-11540488.504536057</v>
      </c>
      <c r="AD93" s="6"/>
      <c r="AE93" s="6"/>
      <c r="AF93" s="6"/>
      <c r="AH93">
        <v>72</v>
      </c>
      <c r="AI93" s="6">
        <f t="shared" si="53"/>
        <v>524674.72022151086</v>
      </c>
      <c r="AJ93" s="4">
        <f t="shared" si="54"/>
        <v>4183.8298985421216</v>
      </c>
      <c r="AK93" s="6">
        <f t="shared" si="55"/>
        <v>528858.550120053</v>
      </c>
      <c r="AL93" s="4">
        <f t="shared" si="56"/>
        <v>12977.546329505407</v>
      </c>
      <c r="AM93" s="6">
        <f t="shared" si="57"/>
        <v>515881.00379054761</v>
      </c>
      <c r="AN93" s="6">
        <f t="shared" si="58"/>
        <v>8793.7164309632863</v>
      </c>
    </row>
    <row r="94" spans="2:40" x14ac:dyDescent="0.25">
      <c r="B94">
        <v>73</v>
      </c>
      <c r="C94" s="6">
        <f t="shared" si="33"/>
        <v>866624.47646405629</v>
      </c>
      <c r="D94" s="4">
        <f t="shared" si="39"/>
        <v>6910.5852744495896</v>
      </c>
      <c r="E94" s="6">
        <f t="shared" si="34"/>
        <v>873535.06173850584</v>
      </c>
      <c r="F94" s="4">
        <f t="shared" si="35"/>
        <v>21800.878906101399</v>
      </c>
      <c r="G94" s="6">
        <f t="shared" si="36"/>
        <v>851734.18283240439</v>
      </c>
      <c r="H94" s="6">
        <f t="shared" si="37"/>
        <v>14890.29363165181</v>
      </c>
      <c r="I94" s="6">
        <f t="shared" si="40"/>
        <v>531.09184775201709</v>
      </c>
      <c r="J94" s="6">
        <f t="shared" si="41"/>
        <v>458755348.87650818</v>
      </c>
      <c r="K94" s="6">
        <f t="shared" si="42"/>
        <v>3658179.5744520151</v>
      </c>
      <c r="L94" s="6">
        <f t="shared" si="43"/>
        <v>1501845.6359135669</v>
      </c>
      <c r="M94" s="6">
        <f t="shared" si="44"/>
        <v>11975.928003311057</v>
      </c>
      <c r="N94" s="6">
        <f t="shared" si="45"/>
        <v>5172001.1383688934</v>
      </c>
      <c r="O94" s="6">
        <f t="shared" si="46"/>
        <v>463927350.01487708</v>
      </c>
      <c r="P94" s="6">
        <f t="shared" si="47"/>
        <v>11578269.060859365</v>
      </c>
      <c r="Q94" s="6">
        <f t="shared" si="48"/>
        <v>452349080.9540177</v>
      </c>
      <c r="R94" s="6">
        <f t="shared" si="49"/>
        <v>6406267.922490472</v>
      </c>
      <c r="S94" s="6">
        <f t="shared" si="50"/>
        <v>-21800.878906101399</v>
      </c>
      <c r="T94" s="6">
        <f t="shared" si="51"/>
        <v>-11578269.060859365</v>
      </c>
      <c r="U94" s="6"/>
      <c r="V94">
        <v>73</v>
      </c>
      <c r="W94" s="6">
        <f t="shared" si="59"/>
        <v>427293157.39649665</v>
      </c>
      <c r="X94" s="6">
        <f t="shared" si="60"/>
        <v>4817296.8487105323</v>
      </c>
      <c r="Y94" s="6">
        <f t="shared" si="61"/>
        <v>432110454.24520719</v>
      </c>
      <c r="Z94" s="6">
        <f t="shared" si="38"/>
        <v>11575665.239051715</v>
      </c>
      <c r="AA94" s="6">
        <f t="shared" si="62"/>
        <v>420534789.00615549</v>
      </c>
      <c r="AB94" s="6">
        <f t="shared" si="63"/>
        <v>6758368.3903411822</v>
      </c>
      <c r="AC94" s="6">
        <f t="shared" si="52"/>
        <v>-11578269.060859365</v>
      </c>
      <c r="AD94" s="6"/>
      <c r="AE94" s="6"/>
      <c r="AF94" s="6"/>
      <c r="AH94">
        <v>73</v>
      </c>
      <c r="AI94" s="6">
        <f t="shared" si="53"/>
        <v>515881.00379054761</v>
      </c>
      <c r="AJ94" s="4">
        <f t="shared" si="54"/>
        <v>4113.7075688296618</v>
      </c>
      <c r="AK94" s="6">
        <f t="shared" si="55"/>
        <v>519994.71135937725</v>
      </c>
      <c r="AL94" s="4">
        <f t="shared" si="56"/>
        <v>12977.546329505407</v>
      </c>
      <c r="AM94" s="6">
        <f t="shared" si="57"/>
        <v>507017.16502987186</v>
      </c>
      <c r="AN94" s="6">
        <f t="shared" si="58"/>
        <v>8863.838760675746</v>
      </c>
    </row>
    <row r="95" spans="2:40" x14ac:dyDescent="0.25">
      <c r="B95">
        <v>74</v>
      </c>
      <c r="C95" s="6">
        <f t="shared" si="33"/>
        <v>851734.18283240439</v>
      </c>
      <c r="D95" s="4">
        <f t="shared" si="39"/>
        <v>6791.8479820031862</v>
      </c>
      <c r="E95" s="6">
        <f t="shared" si="34"/>
        <v>858526.03081440763</v>
      </c>
      <c r="F95" s="4">
        <f t="shared" si="35"/>
        <v>21800.878906101399</v>
      </c>
      <c r="G95" s="6">
        <f t="shared" si="36"/>
        <v>836725.15190830617</v>
      </c>
      <c r="H95" s="6">
        <f t="shared" si="37"/>
        <v>15009.030924098213</v>
      </c>
      <c r="I95" s="6">
        <f t="shared" si="40"/>
        <v>532.83050426200441</v>
      </c>
      <c r="J95" s="6">
        <f t="shared" si="41"/>
        <v>452349080.9540177</v>
      </c>
      <c r="K95" s="6">
        <f t="shared" si="42"/>
        <v>3607095.0944128945</v>
      </c>
      <c r="L95" s="6">
        <f t="shared" si="43"/>
        <v>1480873.181760285</v>
      </c>
      <c r="M95" s="6">
        <f t="shared" si="44"/>
        <v>11808.690708754042</v>
      </c>
      <c r="N95" s="6">
        <f t="shared" si="45"/>
        <v>5099776.9668819336</v>
      </c>
      <c r="O95" s="6">
        <f t="shared" si="46"/>
        <v>457448857.92089963</v>
      </c>
      <c r="P95" s="6">
        <f t="shared" si="47"/>
        <v>11616173.300892904</v>
      </c>
      <c r="Q95" s="6">
        <f t="shared" si="48"/>
        <v>445832684.62000674</v>
      </c>
      <c r="R95" s="6">
        <f t="shared" si="49"/>
        <v>6516396.3340109708</v>
      </c>
      <c r="S95" s="6">
        <f t="shared" si="50"/>
        <v>-21800.878906101399</v>
      </c>
      <c r="T95" s="6">
        <f t="shared" si="51"/>
        <v>-11616173.300892904</v>
      </c>
      <c r="U95" s="6"/>
      <c r="V95">
        <v>74</v>
      </c>
      <c r="W95" s="6">
        <f t="shared" si="59"/>
        <v>420534789.00615549</v>
      </c>
      <c r="X95" s="6">
        <f t="shared" si="60"/>
        <v>4741103.1016643923</v>
      </c>
      <c r="Y95" s="6">
        <f t="shared" si="61"/>
        <v>425275892.10781986</v>
      </c>
      <c r="Z95" s="6">
        <f t="shared" si="38"/>
        <v>11575665.239051715</v>
      </c>
      <c r="AA95" s="6">
        <f t="shared" si="62"/>
        <v>413700226.86876816</v>
      </c>
      <c r="AB95" s="6">
        <f t="shared" si="63"/>
        <v>6834562.1373873223</v>
      </c>
      <c r="AC95" s="6">
        <f t="shared" si="52"/>
        <v>-11616173.300892904</v>
      </c>
      <c r="AD95" s="6"/>
      <c r="AE95" s="6"/>
      <c r="AF95" s="6"/>
      <c r="AH95">
        <v>74</v>
      </c>
      <c r="AI95" s="6">
        <f t="shared" si="53"/>
        <v>507017.16502987186</v>
      </c>
      <c r="AJ95" s="4">
        <f t="shared" si="54"/>
        <v>4043.0260738128732</v>
      </c>
      <c r="AK95" s="6">
        <f t="shared" si="55"/>
        <v>511060.19110368472</v>
      </c>
      <c r="AL95" s="4">
        <f t="shared" si="56"/>
        <v>12977.546329505407</v>
      </c>
      <c r="AM95" s="6">
        <f t="shared" si="57"/>
        <v>498082.64477417932</v>
      </c>
      <c r="AN95" s="6">
        <f t="shared" si="58"/>
        <v>8934.5202556925342</v>
      </c>
    </row>
    <row r="96" spans="2:40" x14ac:dyDescent="0.25">
      <c r="B96">
        <v>75</v>
      </c>
      <c r="C96" s="6">
        <f t="shared" si="33"/>
        <v>836725.15190830617</v>
      </c>
      <c r="D96" s="4">
        <f t="shared" si="39"/>
        <v>6672.1638617126682</v>
      </c>
      <c r="E96" s="6">
        <f t="shared" si="34"/>
        <v>843397.31577001885</v>
      </c>
      <c r="F96" s="4">
        <f t="shared" si="35"/>
        <v>21800.878906101399</v>
      </c>
      <c r="G96" s="6">
        <f t="shared" si="36"/>
        <v>821596.43686391739</v>
      </c>
      <c r="H96" s="6">
        <f t="shared" si="37"/>
        <v>15128.715044388731</v>
      </c>
      <c r="I96" s="6">
        <f t="shared" si="40"/>
        <v>534.57485268097605</v>
      </c>
      <c r="J96" s="6">
        <f t="shared" si="41"/>
        <v>445832684.62000674</v>
      </c>
      <c r="K96" s="6">
        <f t="shared" si="42"/>
        <v>3555132.4349550973</v>
      </c>
      <c r="L96" s="6">
        <f t="shared" si="43"/>
        <v>1459540.1958450582</v>
      </c>
      <c r="M96" s="6">
        <f t="shared" si="44"/>
        <v>11638.578483298197</v>
      </c>
      <c r="N96" s="6">
        <f t="shared" si="45"/>
        <v>5026311.2092834543</v>
      </c>
      <c r="O96" s="6">
        <f t="shared" si="46"/>
        <v>450858995.82929021</v>
      </c>
      <c r="P96" s="6">
        <f t="shared" si="47"/>
        <v>11654201.629544955</v>
      </c>
      <c r="Q96" s="6">
        <f t="shared" si="48"/>
        <v>439204794.19974524</v>
      </c>
      <c r="R96" s="6">
        <f t="shared" si="49"/>
        <v>6627890.4202615004</v>
      </c>
      <c r="S96" s="6">
        <f t="shared" si="50"/>
        <v>-21800.878906101399</v>
      </c>
      <c r="T96" s="6">
        <f t="shared" si="51"/>
        <v>-11654201.629544955</v>
      </c>
      <c r="U96" s="6"/>
      <c r="V96">
        <v>75</v>
      </c>
      <c r="W96" s="6">
        <f t="shared" si="59"/>
        <v>413700226.86876816</v>
      </c>
      <c r="X96" s="6">
        <f t="shared" si="60"/>
        <v>4664050.3474210072</v>
      </c>
      <c r="Y96" s="6">
        <f t="shared" si="61"/>
        <v>418364277.21618915</v>
      </c>
      <c r="Z96" s="6">
        <f t="shared" si="38"/>
        <v>11575665.239051715</v>
      </c>
      <c r="AA96" s="6">
        <f t="shared" si="62"/>
        <v>406788611.97713745</v>
      </c>
      <c r="AB96" s="6">
        <f t="shared" si="63"/>
        <v>6911614.8916307073</v>
      </c>
      <c r="AC96" s="6">
        <f t="shared" si="52"/>
        <v>-11654201.629544955</v>
      </c>
      <c r="AD96" s="6"/>
      <c r="AE96" s="6"/>
      <c r="AF96" s="6"/>
      <c r="AH96">
        <v>75</v>
      </c>
      <c r="AI96" s="6">
        <f t="shared" si="53"/>
        <v>498082.64477417932</v>
      </c>
      <c r="AJ96" s="4">
        <f t="shared" si="54"/>
        <v>3971.7809546290955</v>
      </c>
      <c r="AK96" s="6">
        <f t="shared" si="55"/>
        <v>502054.42572880839</v>
      </c>
      <c r="AL96" s="4">
        <f t="shared" si="56"/>
        <v>12977.546329505407</v>
      </c>
      <c r="AM96" s="6">
        <f t="shared" si="57"/>
        <v>489076.879399303</v>
      </c>
      <c r="AN96" s="6">
        <f t="shared" si="58"/>
        <v>9005.7653748763114</v>
      </c>
    </row>
    <row r="97" spans="2:40" x14ac:dyDescent="0.25">
      <c r="B97">
        <v>76</v>
      </c>
      <c r="C97" s="6">
        <f t="shared" si="33"/>
        <v>821596.43686391739</v>
      </c>
      <c r="D97" s="4">
        <f t="shared" si="39"/>
        <v>6551.5253634398423</v>
      </c>
      <c r="E97" s="6">
        <f t="shared" si="34"/>
        <v>828147.9622273572</v>
      </c>
      <c r="F97" s="4">
        <f t="shared" si="35"/>
        <v>21800.878906101399</v>
      </c>
      <c r="G97" s="6">
        <f t="shared" si="36"/>
        <v>806347.08332125575</v>
      </c>
      <c r="H97" s="6">
        <f t="shared" si="37"/>
        <v>15249.353542661556</v>
      </c>
      <c r="I97" s="6">
        <f t="shared" si="40"/>
        <v>536.32491164276087</v>
      </c>
      <c r="J97" s="6">
        <f t="shared" si="41"/>
        <v>439204794.19974524</v>
      </c>
      <c r="K97" s="6">
        <f t="shared" si="42"/>
        <v>3502280.705996546</v>
      </c>
      <c r="L97" s="6">
        <f t="shared" si="43"/>
        <v>1437842.2073041929</v>
      </c>
      <c r="M97" s="6">
        <f t="shared" si="44"/>
        <v>11465.555675648593</v>
      </c>
      <c r="N97" s="6">
        <f t="shared" si="45"/>
        <v>4951588.4689763878</v>
      </c>
      <c r="O97" s="6">
        <f t="shared" si="46"/>
        <v>444156382.66872162</v>
      </c>
      <c r="P97" s="6">
        <f t="shared" si="47"/>
        <v>11692354.453049362</v>
      </c>
      <c r="Q97" s="6">
        <f t="shared" si="48"/>
        <v>432464028.21567225</v>
      </c>
      <c r="R97" s="6">
        <f t="shared" si="49"/>
        <v>6740765.984072974</v>
      </c>
      <c r="S97" s="6">
        <f t="shared" si="50"/>
        <v>-21800.878906101399</v>
      </c>
      <c r="T97" s="6">
        <f t="shared" si="51"/>
        <v>-11692354.453049362</v>
      </c>
      <c r="U97" s="6"/>
      <c r="V97">
        <v>76</v>
      </c>
      <c r="W97" s="6">
        <f t="shared" si="59"/>
        <v>406788611.97713745</v>
      </c>
      <c r="X97" s="6">
        <f t="shared" si="60"/>
        <v>4586128.9015457155</v>
      </c>
      <c r="Y97" s="6">
        <f t="shared" si="61"/>
        <v>411374740.87868315</v>
      </c>
      <c r="Z97" s="6">
        <f t="shared" si="38"/>
        <v>11575665.239051715</v>
      </c>
      <c r="AA97" s="6">
        <f t="shared" si="62"/>
        <v>399799075.63963145</v>
      </c>
      <c r="AB97" s="6">
        <f t="shared" si="63"/>
        <v>6989536.337505999</v>
      </c>
      <c r="AC97" s="6">
        <f t="shared" si="52"/>
        <v>-11692354.453049362</v>
      </c>
      <c r="AD97" s="6"/>
      <c r="AE97" s="6"/>
      <c r="AF97" s="6"/>
      <c r="AH97">
        <v>76</v>
      </c>
      <c r="AI97" s="6">
        <f t="shared" si="53"/>
        <v>489076.879399303</v>
      </c>
      <c r="AJ97" s="4">
        <f t="shared" si="54"/>
        <v>3899.9677168600724</v>
      </c>
      <c r="AK97" s="6">
        <f t="shared" si="55"/>
        <v>492976.84711616306</v>
      </c>
      <c r="AL97" s="4">
        <f t="shared" si="56"/>
        <v>12977.546329505407</v>
      </c>
      <c r="AM97" s="6">
        <f t="shared" si="57"/>
        <v>479999.30078665767</v>
      </c>
      <c r="AN97" s="6">
        <f t="shared" si="58"/>
        <v>9077.5786126453349</v>
      </c>
    </row>
    <row r="98" spans="2:40" x14ac:dyDescent="0.25">
      <c r="B98">
        <v>77</v>
      </c>
      <c r="C98" s="6">
        <f t="shared" si="33"/>
        <v>806347.08332125575</v>
      </c>
      <c r="D98" s="4">
        <f t="shared" si="39"/>
        <v>6429.9248768406578</v>
      </c>
      <c r="E98" s="6">
        <f t="shared" si="34"/>
        <v>812777.00819809642</v>
      </c>
      <c r="F98" s="4">
        <f t="shared" si="35"/>
        <v>21800.878906101399</v>
      </c>
      <c r="G98" s="6">
        <f t="shared" si="36"/>
        <v>790976.12929199496</v>
      </c>
      <c r="H98" s="6">
        <f t="shared" si="37"/>
        <v>15370.954029260742</v>
      </c>
      <c r="I98" s="6">
        <f t="shared" si="40"/>
        <v>538.08069984219014</v>
      </c>
      <c r="J98" s="6">
        <f t="shared" si="41"/>
        <v>432464028.21567225</v>
      </c>
      <c r="K98" s="6">
        <f t="shared" si="42"/>
        <v>3448528.8914411706</v>
      </c>
      <c r="L98" s="6">
        <f t="shared" si="43"/>
        <v>1415774.6935396402</v>
      </c>
      <c r="M98" s="6">
        <f t="shared" si="44"/>
        <v>11289.586221973283</v>
      </c>
      <c r="N98" s="6">
        <f t="shared" si="45"/>
        <v>4875593.1712027844</v>
      </c>
      <c r="O98" s="6">
        <f t="shared" si="46"/>
        <v>437339621.38687503</v>
      </c>
      <c r="P98" s="6">
        <f t="shared" si="47"/>
        <v>11730632.178969882</v>
      </c>
      <c r="Q98" s="6">
        <f t="shared" si="48"/>
        <v>425608989.20790517</v>
      </c>
      <c r="R98" s="6">
        <f t="shared" si="49"/>
        <v>6855039.007767098</v>
      </c>
      <c r="S98" s="6">
        <f t="shared" si="50"/>
        <v>-21800.878906101399</v>
      </c>
      <c r="T98" s="6">
        <f t="shared" si="51"/>
        <v>-11730632.178969882</v>
      </c>
      <c r="U98" s="6"/>
      <c r="V98">
        <v>77</v>
      </c>
      <c r="W98" s="6">
        <f t="shared" si="59"/>
        <v>399799075.63963145</v>
      </c>
      <c r="X98" s="6">
        <f t="shared" si="60"/>
        <v>4507328.9704216802</v>
      </c>
      <c r="Y98" s="6">
        <f t="shared" si="61"/>
        <v>404306404.61005312</v>
      </c>
      <c r="Z98" s="6">
        <f t="shared" si="38"/>
        <v>11575665.239051715</v>
      </c>
      <c r="AA98" s="6">
        <f t="shared" si="62"/>
        <v>392730739.37100142</v>
      </c>
      <c r="AB98" s="6">
        <f t="shared" si="63"/>
        <v>7068336.2686300343</v>
      </c>
      <c r="AC98" s="6">
        <f t="shared" si="52"/>
        <v>-11730632.178969882</v>
      </c>
      <c r="AD98" s="6"/>
      <c r="AE98" s="6"/>
      <c r="AF98" s="6"/>
      <c r="AH98">
        <v>77</v>
      </c>
      <c r="AI98" s="6">
        <f t="shared" si="53"/>
        <v>479999.30078665767</v>
      </c>
      <c r="AJ98" s="4">
        <f t="shared" si="54"/>
        <v>3827.5818302484254</v>
      </c>
      <c r="AK98" s="6">
        <f t="shared" si="55"/>
        <v>483826.88261690608</v>
      </c>
      <c r="AL98" s="4">
        <f t="shared" si="56"/>
        <v>12977.546329505407</v>
      </c>
      <c r="AM98" s="6">
        <f t="shared" si="57"/>
        <v>470849.33628740069</v>
      </c>
      <c r="AN98" s="6">
        <f t="shared" si="58"/>
        <v>9149.9644992569811</v>
      </c>
    </row>
    <row r="99" spans="2:40" x14ac:dyDescent="0.25">
      <c r="B99">
        <v>78</v>
      </c>
      <c r="C99" s="6">
        <f t="shared" si="33"/>
        <v>790976.12929199496</v>
      </c>
      <c r="D99" s="4">
        <f t="shared" si="39"/>
        <v>6307.3547308851084</v>
      </c>
      <c r="E99" s="6">
        <f t="shared" si="34"/>
        <v>797283.48402288009</v>
      </c>
      <c r="F99" s="4">
        <f t="shared" si="35"/>
        <v>21800.878906101399</v>
      </c>
      <c r="G99" s="6">
        <f t="shared" si="36"/>
        <v>775482.60511677864</v>
      </c>
      <c r="H99" s="6">
        <f t="shared" si="37"/>
        <v>15493.524175216291</v>
      </c>
      <c r="I99" s="6">
        <f t="shared" si="40"/>
        <v>539.84223603529699</v>
      </c>
      <c r="J99" s="6">
        <f t="shared" si="41"/>
        <v>425608989.20790517</v>
      </c>
      <c r="K99" s="6">
        <f t="shared" si="42"/>
        <v>3393865.8477476225</v>
      </c>
      <c r="L99" s="6">
        <f t="shared" si="43"/>
        <v>1393333.0796313877</v>
      </c>
      <c r="M99" s="6">
        <f t="shared" si="44"/>
        <v>11110.633641217635</v>
      </c>
      <c r="N99" s="6">
        <f t="shared" si="45"/>
        <v>4798309.5610202281</v>
      </c>
      <c r="O99" s="6">
        <f t="shared" si="46"/>
        <v>430407298.76892543</v>
      </c>
      <c r="P99" s="6">
        <f t="shared" si="47"/>
        <v>11769035.216204518</v>
      </c>
      <c r="Q99" s="6">
        <f t="shared" si="48"/>
        <v>418638263.5527209</v>
      </c>
      <c r="R99" s="6">
        <f t="shared" si="49"/>
        <v>6970725.6551842904</v>
      </c>
      <c r="S99" s="6">
        <f t="shared" si="50"/>
        <v>-21800.878906101399</v>
      </c>
      <c r="T99" s="6">
        <f t="shared" si="51"/>
        <v>-11769035.216204518</v>
      </c>
      <c r="U99" s="6"/>
      <c r="V99">
        <v>78</v>
      </c>
      <c r="W99" s="6">
        <f t="shared" si="59"/>
        <v>392730739.37100142</v>
      </c>
      <c r="X99" s="6">
        <f t="shared" si="60"/>
        <v>4427640.6500189705</v>
      </c>
      <c r="Y99" s="6">
        <f t="shared" si="61"/>
        <v>397158380.02102041</v>
      </c>
      <c r="Z99" s="6">
        <f t="shared" si="38"/>
        <v>11575665.239051715</v>
      </c>
      <c r="AA99" s="6">
        <f t="shared" si="62"/>
        <v>385582714.78196871</v>
      </c>
      <c r="AB99" s="6">
        <f t="shared" si="63"/>
        <v>7148024.5890327441</v>
      </c>
      <c r="AC99" s="6">
        <f t="shared" si="52"/>
        <v>-11769035.216204518</v>
      </c>
      <c r="AD99" s="6"/>
      <c r="AE99" s="6"/>
      <c r="AF99" s="6"/>
      <c r="AH99">
        <v>78</v>
      </c>
      <c r="AI99" s="6">
        <f t="shared" si="53"/>
        <v>470849.33628740069</v>
      </c>
      <c r="AJ99" s="4">
        <f t="shared" si="54"/>
        <v>3754.618728411866</v>
      </c>
      <c r="AK99" s="6">
        <f t="shared" si="55"/>
        <v>474603.95501581253</v>
      </c>
      <c r="AL99" s="4">
        <f t="shared" si="56"/>
        <v>12977.546329505407</v>
      </c>
      <c r="AM99" s="6">
        <f t="shared" si="57"/>
        <v>461626.40868630714</v>
      </c>
      <c r="AN99" s="6">
        <f t="shared" si="58"/>
        <v>9222.9276010935409</v>
      </c>
    </row>
    <row r="100" spans="2:40" x14ac:dyDescent="0.25">
      <c r="B100">
        <v>79</v>
      </c>
      <c r="C100" s="6">
        <f t="shared" si="33"/>
        <v>775482.60511677864</v>
      </c>
      <c r="D100" s="4">
        <f t="shared" si="39"/>
        <v>6183.8071933733181</v>
      </c>
      <c r="E100" s="6">
        <f t="shared" si="34"/>
        <v>781666.41231015197</v>
      </c>
      <c r="F100" s="4">
        <f t="shared" si="35"/>
        <v>21800.878906101399</v>
      </c>
      <c r="G100" s="6">
        <f t="shared" si="36"/>
        <v>759865.53340405051</v>
      </c>
      <c r="H100" s="6">
        <f t="shared" si="37"/>
        <v>15617.07171272808</v>
      </c>
      <c r="I100" s="6">
        <f t="shared" si="40"/>
        <v>541.6095390395169</v>
      </c>
      <c r="J100" s="6">
        <f t="shared" si="41"/>
        <v>418638263.5527209</v>
      </c>
      <c r="K100" s="6">
        <f t="shared" si="42"/>
        <v>3338280.3024818208</v>
      </c>
      <c r="L100" s="6">
        <f t="shared" si="43"/>
        <v>1370512.7377432163</v>
      </c>
      <c r="M100" s="6">
        <f t="shared" si="44"/>
        <v>10928.661030365762</v>
      </c>
      <c r="N100" s="6">
        <f t="shared" si="45"/>
        <v>4719721.7012554025</v>
      </c>
      <c r="O100" s="6">
        <f t="shared" si="46"/>
        <v>423357985.25397629</v>
      </c>
      <c r="P100" s="6">
        <f t="shared" si="47"/>
        <v>11807563.974989906</v>
      </c>
      <c r="Q100" s="6">
        <f t="shared" si="48"/>
        <v>411550421.27898639</v>
      </c>
      <c r="R100" s="6">
        <f t="shared" si="49"/>
        <v>7087842.2737345034</v>
      </c>
      <c r="S100" s="6">
        <f t="shared" si="50"/>
        <v>-21800.878906101399</v>
      </c>
      <c r="T100" s="6">
        <f t="shared" si="51"/>
        <v>-11807563.974989906</v>
      </c>
      <c r="U100" s="6"/>
      <c r="V100">
        <v>79</v>
      </c>
      <c r="W100" s="6">
        <f t="shared" si="59"/>
        <v>385582714.78196871</v>
      </c>
      <c r="X100" s="6">
        <f t="shared" si="60"/>
        <v>4347053.9246497639</v>
      </c>
      <c r="Y100" s="6">
        <f t="shared" si="61"/>
        <v>389929768.70661849</v>
      </c>
      <c r="Z100" s="6">
        <f t="shared" si="38"/>
        <v>11575665.239051715</v>
      </c>
      <c r="AA100" s="6">
        <f t="shared" si="62"/>
        <v>378354103.46756679</v>
      </c>
      <c r="AB100" s="6">
        <f t="shared" si="63"/>
        <v>7228611.3144019507</v>
      </c>
      <c r="AC100" s="6">
        <f t="shared" si="52"/>
        <v>-11807563.974989906</v>
      </c>
      <c r="AD100" s="6"/>
      <c r="AE100" s="6"/>
      <c r="AF100" s="6"/>
      <c r="AH100">
        <v>79</v>
      </c>
      <c r="AI100" s="6">
        <f t="shared" si="53"/>
        <v>461626.40868630714</v>
      </c>
      <c r="AJ100" s="4">
        <f t="shared" si="54"/>
        <v>3681.0738085551338</v>
      </c>
      <c r="AK100" s="6">
        <f t="shared" si="55"/>
        <v>465307.48249486228</v>
      </c>
      <c r="AL100" s="4">
        <f t="shared" si="56"/>
        <v>12977.546329505407</v>
      </c>
      <c r="AM100" s="6">
        <f t="shared" si="57"/>
        <v>452329.93616535689</v>
      </c>
      <c r="AN100" s="6">
        <f t="shared" si="58"/>
        <v>9296.4725209502722</v>
      </c>
    </row>
    <row r="101" spans="2:40" x14ac:dyDescent="0.25">
      <c r="B101">
        <v>80</v>
      </c>
      <c r="C101" s="6">
        <f t="shared" si="33"/>
        <v>759865.53340405051</v>
      </c>
      <c r="D101" s="4">
        <f t="shared" si="39"/>
        <v>6059.2744704477627</v>
      </c>
      <c r="E101" s="6">
        <f t="shared" si="34"/>
        <v>765924.80787449831</v>
      </c>
      <c r="F101" s="4">
        <f t="shared" si="35"/>
        <v>21800.878906101399</v>
      </c>
      <c r="G101" s="6">
        <f t="shared" si="36"/>
        <v>744123.92896839685</v>
      </c>
      <c r="H101" s="6">
        <f t="shared" si="37"/>
        <v>15741.604435653637</v>
      </c>
      <c r="I101" s="6">
        <f t="shared" si="40"/>
        <v>543.38262773388897</v>
      </c>
      <c r="J101" s="6">
        <f t="shared" si="41"/>
        <v>411550421.27898639</v>
      </c>
      <c r="K101" s="6">
        <f t="shared" si="42"/>
        <v>3281760.8528531413</v>
      </c>
      <c r="L101" s="6">
        <f t="shared" si="43"/>
        <v>1347308.9865217404</v>
      </c>
      <c r="M101" s="6">
        <f t="shared" si="44"/>
        <v>10743.631059648367</v>
      </c>
      <c r="N101" s="6">
        <f t="shared" si="45"/>
        <v>4639813.4704345297</v>
      </c>
      <c r="O101" s="6">
        <f t="shared" si="46"/>
        <v>416190234.74942094</v>
      </c>
      <c r="P101" s="6">
        <f t="shared" si="47"/>
        <v>11846218.866905689</v>
      </c>
      <c r="Q101" s="6">
        <f t="shared" si="48"/>
        <v>404344015.88251525</v>
      </c>
      <c r="R101" s="6">
        <f t="shared" si="49"/>
        <v>7206405.3964711595</v>
      </c>
      <c r="S101" s="6">
        <f t="shared" si="50"/>
        <v>-21800.878906101399</v>
      </c>
      <c r="T101" s="6">
        <f t="shared" si="51"/>
        <v>-11846218.866905689</v>
      </c>
      <c r="U101" s="6"/>
      <c r="V101">
        <v>80</v>
      </c>
      <c r="W101" s="6">
        <f t="shared" si="59"/>
        <v>378354103.46756679</v>
      </c>
      <c r="X101" s="6">
        <f t="shared" si="60"/>
        <v>4265558.6657095198</v>
      </c>
      <c r="Y101" s="6">
        <f t="shared" si="61"/>
        <v>382619662.13327628</v>
      </c>
      <c r="Z101" s="6">
        <f t="shared" si="38"/>
        <v>11575665.239051715</v>
      </c>
      <c r="AA101" s="6">
        <f t="shared" si="62"/>
        <v>371043996.89422458</v>
      </c>
      <c r="AB101" s="6">
        <f t="shared" si="63"/>
        <v>7310106.5733421948</v>
      </c>
      <c r="AC101" s="6">
        <f t="shared" si="52"/>
        <v>-11846218.866905689</v>
      </c>
      <c r="AD101" s="6"/>
      <c r="AE101" s="6"/>
      <c r="AF101" s="6"/>
      <c r="AH101">
        <v>80</v>
      </c>
      <c r="AI101" s="6">
        <f t="shared" si="53"/>
        <v>452329.93616535689</v>
      </c>
      <c r="AJ101" s="4">
        <f t="shared" si="54"/>
        <v>3606.9424311796315</v>
      </c>
      <c r="AK101" s="6">
        <f t="shared" si="55"/>
        <v>455936.87859653652</v>
      </c>
      <c r="AL101" s="4">
        <f t="shared" si="56"/>
        <v>12977.546329505407</v>
      </c>
      <c r="AM101" s="6">
        <f t="shared" si="57"/>
        <v>442959.33226703113</v>
      </c>
      <c r="AN101" s="6">
        <f t="shared" si="58"/>
        <v>9370.6038983257749</v>
      </c>
    </row>
    <row r="102" spans="2:40" x14ac:dyDescent="0.25">
      <c r="B102">
        <v>81</v>
      </c>
      <c r="C102" s="6">
        <f t="shared" si="33"/>
        <v>744123.92896839685</v>
      </c>
      <c r="D102" s="4">
        <f t="shared" si="39"/>
        <v>5933.7487061016063</v>
      </c>
      <c r="E102" s="6">
        <f t="shared" si="34"/>
        <v>750057.67767449841</v>
      </c>
      <c r="F102" s="4">
        <f t="shared" si="35"/>
        <v>21800.878906101399</v>
      </c>
      <c r="G102" s="6">
        <f t="shared" si="36"/>
        <v>728256.79876839695</v>
      </c>
      <c r="H102" s="6">
        <f t="shared" si="37"/>
        <v>15867.130199999792</v>
      </c>
      <c r="I102" s="6">
        <f t="shared" si="40"/>
        <v>545.16152105925721</v>
      </c>
      <c r="J102" s="6">
        <f t="shared" si="41"/>
        <v>404344015.88251525</v>
      </c>
      <c r="K102" s="6">
        <f t="shared" si="42"/>
        <v>3224295.9642340709</v>
      </c>
      <c r="L102" s="6">
        <f t="shared" si="43"/>
        <v>1323717.0904886599</v>
      </c>
      <c r="M102" s="6">
        <f t="shared" si="44"/>
        <v>10555.505967696487</v>
      </c>
      <c r="N102" s="6">
        <f t="shared" si="45"/>
        <v>4558568.5606904272</v>
      </c>
      <c r="O102" s="6">
        <f t="shared" si="46"/>
        <v>408902584.44320565</v>
      </c>
      <c r="P102" s="6">
        <f t="shared" si="47"/>
        <v>11885000.304878915</v>
      </c>
      <c r="Q102" s="6">
        <f t="shared" si="48"/>
        <v>397017584.13832676</v>
      </c>
      <c r="R102" s="6">
        <f t="shared" si="49"/>
        <v>7326431.7441884875</v>
      </c>
      <c r="S102" s="6">
        <f t="shared" si="50"/>
        <v>-21800.878906101399</v>
      </c>
      <c r="T102" s="6">
        <f t="shared" si="51"/>
        <v>-11885000.304878915</v>
      </c>
      <c r="U102" s="6"/>
      <c r="V102">
        <v>81</v>
      </c>
      <c r="W102" s="6">
        <f t="shared" si="59"/>
        <v>371043996.89422458</v>
      </c>
      <c r="X102" s="6">
        <f t="shared" si="60"/>
        <v>4183144.6304039587</v>
      </c>
      <c r="Y102" s="6">
        <f t="shared" si="61"/>
        <v>375227141.52462852</v>
      </c>
      <c r="Z102" s="6">
        <f t="shared" si="38"/>
        <v>11575665.239051715</v>
      </c>
      <c r="AA102" s="6">
        <f t="shared" si="62"/>
        <v>363651476.28557682</v>
      </c>
      <c r="AB102" s="6">
        <f t="shared" si="63"/>
        <v>7392520.6086477563</v>
      </c>
      <c r="AC102" s="6">
        <f t="shared" si="52"/>
        <v>-11885000.304878915</v>
      </c>
      <c r="AD102" s="6"/>
      <c r="AE102" s="6"/>
      <c r="AF102" s="6"/>
      <c r="AH102">
        <v>81</v>
      </c>
      <c r="AI102" s="6">
        <f t="shared" si="53"/>
        <v>442959.33226703113</v>
      </c>
      <c r="AJ102" s="4">
        <f t="shared" si="54"/>
        <v>3532.2199197907485</v>
      </c>
      <c r="AK102" s="6">
        <f t="shared" si="55"/>
        <v>446491.55218682188</v>
      </c>
      <c r="AL102" s="4">
        <f t="shared" si="56"/>
        <v>12977.546329505407</v>
      </c>
      <c r="AM102" s="6">
        <f t="shared" si="57"/>
        <v>433514.00585731649</v>
      </c>
      <c r="AN102" s="6">
        <f t="shared" si="58"/>
        <v>9445.3264097146584</v>
      </c>
    </row>
    <row r="103" spans="2:40" x14ac:dyDescent="0.25">
      <c r="B103">
        <v>82</v>
      </c>
      <c r="C103" s="6">
        <f t="shared" si="33"/>
        <v>728256.79876839695</v>
      </c>
      <c r="D103" s="4">
        <f t="shared" si="39"/>
        <v>5807.2219816831075</v>
      </c>
      <c r="E103" s="6">
        <f t="shared" si="34"/>
        <v>734064.02075008012</v>
      </c>
      <c r="F103" s="4">
        <f t="shared" si="35"/>
        <v>21800.878906101399</v>
      </c>
      <c r="G103" s="6">
        <f t="shared" si="36"/>
        <v>712263.14184397866</v>
      </c>
      <c r="H103" s="6">
        <f t="shared" si="37"/>
        <v>15993.656924418292</v>
      </c>
      <c r="I103" s="6">
        <f t="shared" si="40"/>
        <v>546.94623801847297</v>
      </c>
      <c r="J103" s="6">
        <f t="shared" si="41"/>
        <v>397017584.13832676</v>
      </c>
      <c r="K103" s="6">
        <f t="shared" si="42"/>
        <v>3165873.9686631332</v>
      </c>
      <c r="L103" s="6">
        <f t="shared" si="43"/>
        <v>1299732.2594261451</v>
      </c>
      <c r="M103" s="6">
        <f t="shared" si="44"/>
        <v>10364.247556640459</v>
      </c>
      <c r="N103" s="6">
        <f t="shared" si="45"/>
        <v>4475970.4756459184</v>
      </c>
      <c r="O103" s="6">
        <f t="shared" si="46"/>
        <v>401493554.61397266</v>
      </c>
      <c r="P103" s="6">
        <f t="shared" si="47"/>
        <v>11923908.703188444</v>
      </c>
      <c r="Q103" s="6">
        <f t="shared" si="48"/>
        <v>389569645.91078424</v>
      </c>
      <c r="R103" s="6">
        <f t="shared" si="49"/>
        <v>7447938.2275425252</v>
      </c>
      <c r="S103" s="6">
        <f t="shared" si="50"/>
        <v>-21800.878906101399</v>
      </c>
      <c r="T103" s="6">
        <f t="shared" si="51"/>
        <v>-11923908.703188444</v>
      </c>
      <c r="U103" s="6"/>
      <c r="V103">
        <v>82</v>
      </c>
      <c r="W103" s="6">
        <f t="shared" si="59"/>
        <v>363651476.28557682</v>
      </c>
      <c r="X103" s="6">
        <f t="shared" si="60"/>
        <v>4099801.4604616864</v>
      </c>
      <c r="Y103" s="6">
        <f t="shared" si="61"/>
        <v>367751277.7460385</v>
      </c>
      <c r="Z103" s="6">
        <f t="shared" si="38"/>
        <v>11575665.239051715</v>
      </c>
      <c r="AA103" s="6">
        <f t="shared" si="62"/>
        <v>356175612.5069868</v>
      </c>
      <c r="AB103" s="6">
        <f t="shared" si="63"/>
        <v>7475863.7785900282</v>
      </c>
      <c r="AC103" s="6">
        <f t="shared" si="52"/>
        <v>-11923908.703188444</v>
      </c>
      <c r="AD103" s="6"/>
      <c r="AE103" s="6"/>
      <c r="AF103" s="6"/>
      <c r="AH103">
        <v>82</v>
      </c>
      <c r="AI103" s="6">
        <f t="shared" si="53"/>
        <v>433514.00585731649</v>
      </c>
      <c r="AJ103" s="4">
        <f t="shared" si="54"/>
        <v>3456.9015606028506</v>
      </c>
      <c r="AK103" s="6">
        <f t="shared" si="55"/>
        <v>436970.90741791931</v>
      </c>
      <c r="AL103" s="4">
        <f t="shared" si="56"/>
        <v>12977.546329505407</v>
      </c>
      <c r="AM103" s="6">
        <f t="shared" si="57"/>
        <v>423993.36108841392</v>
      </c>
      <c r="AN103" s="6">
        <f t="shared" si="58"/>
        <v>9520.6447689025554</v>
      </c>
    </row>
    <row r="104" spans="2:40" x14ac:dyDescent="0.25">
      <c r="B104">
        <v>83</v>
      </c>
      <c r="C104" s="6">
        <f t="shared" si="33"/>
        <v>712263.14184397866</v>
      </c>
      <c r="D104" s="4">
        <f t="shared" si="39"/>
        <v>5679.6863153960867</v>
      </c>
      <c r="E104" s="6">
        <f t="shared" si="34"/>
        <v>717942.82815937477</v>
      </c>
      <c r="F104" s="4">
        <f t="shared" si="35"/>
        <v>21800.878906101399</v>
      </c>
      <c r="G104" s="6">
        <f t="shared" si="36"/>
        <v>696141.94925327331</v>
      </c>
      <c r="H104" s="6">
        <f t="shared" si="37"/>
        <v>16121.192590705312</v>
      </c>
      <c r="I104" s="6">
        <f t="shared" si="40"/>
        <v>548.73679767659803</v>
      </c>
      <c r="J104" s="6">
        <f t="shared" si="41"/>
        <v>389569645.91078424</v>
      </c>
      <c r="K104" s="6">
        <f t="shared" si="42"/>
        <v>3106483.0633309088</v>
      </c>
      <c r="L104" s="6">
        <f t="shared" si="43"/>
        <v>1275349.647755279</v>
      </c>
      <c r="M104" s="6">
        <f t="shared" si="44"/>
        <v>10169.817187153545</v>
      </c>
      <c r="N104" s="6">
        <f t="shared" si="45"/>
        <v>4392002.5282733412</v>
      </c>
      <c r="O104" s="6">
        <f t="shared" si="46"/>
        <v>393961648.43905759</v>
      </c>
      <c r="P104" s="6">
        <f t="shared" si="47"/>
        <v>11962944.477469377</v>
      </c>
      <c r="Q104" s="6">
        <f t="shared" si="48"/>
        <v>381998703.9615882</v>
      </c>
      <c r="R104" s="6">
        <f t="shared" si="49"/>
        <v>7570941.949196036</v>
      </c>
      <c r="S104" s="6">
        <f t="shared" si="50"/>
        <v>-21800.878906101399</v>
      </c>
      <c r="T104" s="6">
        <f t="shared" si="51"/>
        <v>-11962944.477469377</v>
      </c>
      <c r="U104" s="6"/>
      <c r="V104">
        <v>83</v>
      </c>
      <c r="W104" s="6">
        <f t="shared" si="59"/>
        <v>356175612.5069868</v>
      </c>
      <c r="X104" s="6">
        <f t="shared" si="60"/>
        <v>4015518.6808323059</v>
      </c>
      <c r="Y104" s="6">
        <f t="shared" si="61"/>
        <v>360191131.18781912</v>
      </c>
      <c r="Z104" s="6">
        <f t="shared" si="38"/>
        <v>11575665.239051715</v>
      </c>
      <c r="AA104" s="6">
        <f t="shared" si="62"/>
        <v>348615465.94876742</v>
      </c>
      <c r="AB104" s="6">
        <f t="shared" si="63"/>
        <v>7560146.5582194086</v>
      </c>
      <c r="AC104" s="6">
        <f t="shared" si="52"/>
        <v>-11962944.477469377</v>
      </c>
      <c r="AD104" s="6"/>
      <c r="AE104" s="6"/>
      <c r="AF104" s="6"/>
      <c r="AH104">
        <v>83</v>
      </c>
      <c r="AI104" s="6">
        <f t="shared" si="53"/>
        <v>423993.36108841392</v>
      </c>
      <c r="AJ104" s="4">
        <f t="shared" si="54"/>
        <v>3380.9826022419134</v>
      </c>
      <c r="AK104" s="6">
        <f t="shared" si="55"/>
        <v>427374.34369065583</v>
      </c>
      <c r="AL104" s="4">
        <f t="shared" si="56"/>
        <v>12977.546329505407</v>
      </c>
      <c r="AM104" s="6">
        <f t="shared" si="57"/>
        <v>414396.79736115044</v>
      </c>
      <c r="AN104" s="6">
        <f t="shared" si="58"/>
        <v>9596.563727263494</v>
      </c>
    </row>
    <row r="105" spans="2:40" x14ac:dyDescent="0.25">
      <c r="B105">
        <v>84</v>
      </c>
      <c r="C105" s="6">
        <f t="shared" si="33"/>
        <v>696141.94925327331</v>
      </c>
      <c r="D105" s="4">
        <f t="shared" si="39"/>
        <v>5551.1336617963998</v>
      </c>
      <c r="E105" s="6">
        <f t="shared" si="34"/>
        <v>701693.08291506977</v>
      </c>
      <c r="F105" s="4">
        <f t="shared" si="35"/>
        <v>21800.878906101399</v>
      </c>
      <c r="G105" s="6">
        <f t="shared" si="36"/>
        <v>679892.20400896831</v>
      </c>
      <c r="H105" s="6">
        <f t="shared" si="37"/>
        <v>16249.745244304999</v>
      </c>
      <c r="I105" s="6">
        <f t="shared" si="40"/>
        <v>550.53321916110838</v>
      </c>
      <c r="J105" s="6">
        <f t="shared" si="41"/>
        <v>381998703.9615882</v>
      </c>
      <c r="K105" s="6">
        <f t="shared" si="42"/>
        <v>3046111.3090489409</v>
      </c>
      <c r="L105" s="6">
        <f t="shared" si="43"/>
        <v>1250564.3539074773</v>
      </c>
      <c r="M105" s="6">
        <f t="shared" si="44"/>
        <v>9972.1757734395305</v>
      </c>
      <c r="N105" s="6">
        <f t="shared" si="45"/>
        <v>4306647.8387298575</v>
      </c>
      <c r="O105" s="6">
        <f t="shared" si="46"/>
        <v>386305351.80031806</v>
      </c>
      <c r="P105" s="6">
        <f t="shared" si="47"/>
        <v>12002108.044717506</v>
      </c>
      <c r="Q105" s="6">
        <f t="shared" si="48"/>
        <v>374303243.75560057</v>
      </c>
      <c r="R105" s="6">
        <f t="shared" si="49"/>
        <v>7695460.2059876481</v>
      </c>
      <c r="S105" s="6">
        <f t="shared" si="50"/>
        <v>-21800.878906101399</v>
      </c>
      <c r="T105" s="6">
        <f t="shared" si="51"/>
        <v>-12002108.044717506</v>
      </c>
      <c r="U105" s="6"/>
      <c r="V105">
        <v>84</v>
      </c>
      <c r="W105" s="6">
        <f t="shared" si="59"/>
        <v>348615465.94876742</v>
      </c>
      <c r="X105" s="6">
        <f t="shared" si="60"/>
        <v>3930285.6983698574</v>
      </c>
      <c r="Y105" s="6">
        <f t="shared" si="61"/>
        <v>352545751.64713728</v>
      </c>
      <c r="Z105" s="6">
        <f t="shared" si="38"/>
        <v>11575665.239051715</v>
      </c>
      <c r="AA105" s="6">
        <f t="shared" si="62"/>
        <v>340970086.40808558</v>
      </c>
      <c r="AB105" s="6">
        <f t="shared" si="63"/>
        <v>7645379.5406818576</v>
      </c>
      <c r="AC105" s="6">
        <f t="shared" si="52"/>
        <v>-12002108.044717506</v>
      </c>
      <c r="AD105" s="6"/>
      <c r="AE105" s="6"/>
      <c r="AF105" s="6"/>
      <c r="AH105">
        <v>84</v>
      </c>
      <c r="AI105" s="6">
        <f t="shared" si="53"/>
        <v>414396.79736115044</v>
      </c>
      <c r="AJ105" s="4">
        <f t="shared" si="54"/>
        <v>3304.4582554457907</v>
      </c>
      <c r="AK105" s="6">
        <f t="shared" si="55"/>
        <v>417701.25561659626</v>
      </c>
      <c r="AL105" s="4">
        <f t="shared" si="56"/>
        <v>12977.546329505407</v>
      </c>
      <c r="AM105" s="6">
        <f t="shared" si="57"/>
        <v>404723.70928709087</v>
      </c>
      <c r="AN105" s="6">
        <f t="shared" si="58"/>
        <v>9673.0880740596167</v>
      </c>
    </row>
    <row r="106" spans="2:40" x14ac:dyDescent="0.25">
      <c r="B106">
        <v>85</v>
      </c>
      <c r="C106" s="6">
        <f t="shared" si="33"/>
        <v>679892.20400896831</v>
      </c>
      <c r="D106" s="4">
        <f t="shared" si="39"/>
        <v>5421.5559112844003</v>
      </c>
      <c r="E106" s="6">
        <f t="shared" si="34"/>
        <v>685313.75992025272</v>
      </c>
      <c r="F106" s="4">
        <f t="shared" si="35"/>
        <v>21800.878906101399</v>
      </c>
      <c r="G106" s="6">
        <f t="shared" si="36"/>
        <v>663512.88101415127</v>
      </c>
      <c r="H106" s="6">
        <f t="shared" si="37"/>
        <v>16379.322994816999</v>
      </c>
      <c r="I106" s="6">
        <f t="shared" si="40"/>
        <v>552.33552166209813</v>
      </c>
      <c r="J106" s="6">
        <f t="shared" si="41"/>
        <v>374303243.75560057</v>
      </c>
      <c r="K106" s="6">
        <f t="shared" si="42"/>
        <v>2984746.6287013548</v>
      </c>
      <c r="L106" s="6">
        <f t="shared" si="43"/>
        <v>1225371.4196888071</v>
      </c>
      <c r="M106" s="6">
        <f t="shared" si="44"/>
        <v>9771.2837781637172</v>
      </c>
      <c r="N106" s="6">
        <f t="shared" si="45"/>
        <v>4219889.3321683258</v>
      </c>
      <c r="O106" s="6">
        <f t="shared" si="46"/>
        <v>378523133.08776891</v>
      </c>
      <c r="P106" s="6">
        <f t="shared" si="47"/>
        <v>12041399.823293747</v>
      </c>
      <c r="Q106" s="6">
        <f t="shared" si="48"/>
        <v>366481733.26447517</v>
      </c>
      <c r="R106" s="6">
        <f t="shared" si="49"/>
        <v>7821510.4911254216</v>
      </c>
      <c r="S106" s="6">
        <f t="shared" si="50"/>
        <v>-21800.878906101399</v>
      </c>
      <c r="T106" s="6">
        <f t="shared" si="51"/>
        <v>-12041399.823293747</v>
      </c>
      <c r="U106" s="6"/>
      <c r="V106">
        <v>85</v>
      </c>
      <c r="W106" s="6">
        <f t="shared" si="59"/>
        <v>340970086.40808558</v>
      </c>
      <c r="X106" s="6">
        <f t="shared" si="60"/>
        <v>3844091.8005014039</v>
      </c>
      <c r="Y106" s="6">
        <f t="shared" si="61"/>
        <v>344814178.20858699</v>
      </c>
      <c r="Z106" s="6">
        <f t="shared" si="38"/>
        <v>11575665.239051715</v>
      </c>
      <c r="AA106" s="6">
        <f t="shared" si="62"/>
        <v>333238512.96953529</v>
      </c>
      <c r="AB106" s="6">
        <f t="shared" si="63"/>
        <v>7731573.4385503102</v>
      </c>
      <c r="AC106" s="6">
        <f t="shared" si="52"/>
        <v>-12041399.823293747</v>
      </c>
      <c r="AD106" s="6"/>
      <c r="AE106" s="6"/>
      <c r="AF106" s="6"/>
      <c r="AH106">
        <v>85</v>
      </c>
      <c r="AI106" s="6">
        <f t="shared" si="53"/>
        <v>404723.70928709087</v>
      </c>
      <c r="AJ106" s="4">
        <f t="shared" si="54"/>
        <v>3227.3236927620851</v>
      </c>
      <c r="AK106" s="6">
        <f t="shared" si="55"/>
        <v>407951.03297985293</v>
      </c>
      <c r="AL106" s="4">
        <f t="shared" si="56"/>
        <v>12977.546329505407</v>
      </c>
      <c r="AM106" s="6">
        <f t="shared" si="57"/>
        <v>394973.48665034754</v>
      </c>
      <c r="AN106" s="6">
        <f t="shared" si="58"/>
        <v>9750.2226367433213</v>
      </c>
    </row>
    <row r="107" spans="2:40" x14ac:dyDescent="0.25">
      <c r="B107">
        <v>86</v>
      </c>
      <c r="C107" s="6">
        <f t="shared" si="33"/>
        <v>663512.88101415127</v>
      </c>
      <c r="D107" s="4">
        <f t="shared" si="39"/>
        <v>5290.9448895933565</v>
      </c>
      <c r="E107" s="6">
        <f t="shared" si="34"/>
        <v>668803.82590374467</v>
      </c>
      <c r="F107" s="4">
        <f t="shared" si="35"/>
        <v>21800.878906101399</v>
      </c>
      <c r="G107" s="6">
        <f t="shared" si="36"/>
        <v>647002.94699764322</v>
      </c>
      <c r="H107" s="6">
        <f t="shared" si="37"/>
        <v>16509.934016508043</v>
      </c>
      <c r="I107" s="6">
        <f t="shared" si="40"/>
        <v>554.14372443248499</v>
      </c>
      <c r="J107" s="6">
        <f t="shared" si="41"/>
        <v>366481733.26447517</v>
      </c>
      <c r="K107" s="6">
        <f t="shared" si="42"/>
        <v>2922376.8056789772</v>
      </c>
      <c r="L107" s="6">
        <f t="shared" si="43"/>
        <v>1199765.8296371235</v>
      </c>
      <c r="M107" s="6">
        <f t="shared" si="44"/>
        <v>9567.1012073266538</v>
      </c>
      <c r="N107" s="6">
        <f t="shared" si="45"/>
        <v>4131709.7365234271</v>
      </c>
      <c r="O107" s="6">
        <f t="shared" si="46"/>
        <v>370613443.00099862</v>
      </c>
      <c r="P107" s="6">
        <f t="shared" si="47"/>
        <v>12080820.232928628</v>
      </c>
      <c r="Q107" s="6">
        <f t="shared" si="48"/>
        <v>358532622.76806998</v>
      </c>
      <c r="R107" s="6">
        <f t="shared" si="49"/>
        <v>7949110.496405201</v>
      </c>
      <c r="S107" s="6">
        <f t="shared" si="50"/>
        <v>-21800.878906101399</v>
      </c>
      <c r="T107" s="6">
        <f t="shared" si="51"/>
        <v>-12080820.232928628</v>
      </c>
      <c r="U107" s="6"/>
      <c r="V107">
        <v>86</v>
      </c>
      <c r="W107" s="6">
        <f t="shared" si="59"/>
        <v>333238512.96953529</v>
      </c>
      <c r="X107" s="6">
        <f t="shared" si="60"/>
        <v>3756926.153880619</v>
      </c>
      <c r="Y107" s="6">
        <f t="shared" si="61"/>
        <v>336995439.12341589</v>
      </c>
      <c r="Z107" s="6">
        <f t="shared" si="38"/>
        <v>11575665.239051715</v>
      </c>
      <c r="AA107" s="6">
        <f t="shared" si="62"/>
        <v>325419773.88436419</v>
      </c>
      <c r="AB107" s="6">
        <f t="shared" si="63"/>
        <v>7818739.085171096</v>
      </c>
      <c r="AC107" s="6">
        <f t="shared" si="52"/>
        <v>-12080820.232928628</v>
      </c>
      <c r="AD107" s="6"/>
      <c r="AE107" s="6"/>
      <c r="AF107" s="6"/>
      <c r="AH107">
        <v>86</v>
      </c>
      <c r="AI107" s="6">
        <f t="shared" si="53"/>
        <v>394973.48665034754</v>
      </c>
      <c r="AJ107" s="4">
        <f t="shared" si="54"/>
        <v>3149.5740482436177</v>
      </c>
      <c r="AK107" s="6">
        <f t="shared" si="55"/>
        <v>398123.06069859117</v>
      </c>
      <c r="AL107" s="4">
        <f t="shared" si="56"/>
        <v>12977.546329505407</v>
      </c>
      <c r="AM107" s="6">
        <f t="shared" si="57"/>
        <v>385145.51436908578</v>
      </c>
      <c r="AN107" s="6">
        <f t="shared" si="58"/>
        <v>9827.9722812617892</v>
      </c>
    </row>
    <row r="108" spans="2:40" x14ac:dyDescent="0.25">
      <c r="B108">
        <v>87</v>
      </c>
      <c r="C108" s="6">
        <f t="shared" si="33"/>
        <v>647002.94699764322</v>
      </c>
      <c r="D108" s="4">
        <f t="shared" si="39"/>
        <v>5159.2923572737864</v>
      </c>
      <c r="E108" s="6">
        <f t="shared" si="34"/>
        <v>652162.23935491696</v>
      </c>
      <c r="F108" s="4">
        <f t="shared" si="35"/>
        <v>21800.878906101399</v>
      </c>
      <c r="G108" s="6">
        <f t="shared" si="36"/>
        <v>630361.36044881551</v>
      </c>
      <c r="H108" s="6">
        <f t="shared" si="37"/>
        <v>16641.586548827614</v>
      </c>
      <c r="I108" s="6">
        <f t="shared" si="40"/>
        <v>555.95784678821553</v>
      </c>
      <c r="J108" s="6">
        <f t="shared" si="41"/>
        <v>358532622.76806998</v>
      </c>
      <c r="K108" s="6">
        <f t="shared" si="42"/>
        <v>2858989.4822957693</v>
      </c>
      <c r="L108" s="6">
        <f t="shared" si="43"/>
        <v>1173742.510371947</v>
      </c>
      <c r="M108" s="6">
        <f t="shared" si="44"/>
        <v>9359.5876050799397</v>
      </c>
      <c r="N108" s="6">
        <f t="shared" si="45"/>
        <v>4042091.5802727966</v>
      </c>
      <c r="O108" s="6">
        <f t="shared" si="46"/>
        <v>362574714.34834278</v>
      </c>
      <c r="P108" s="6">
        <f t="shared" si="47"/>
        <v>12120369.694726761</v>
      </c>
      <c r="Q108" s="6">
        <f t="shared" si="48"/>
        <v>350454344.65361601</v>
      </c>
      <c r="R108" s="6">
        <f t="shared" si="49"/>
        <v>8078278.1144539649</v>
      </c>
      <c r="S108" s="6">
        <f t="shared" si="50"/>
        <v>-21800.878906101399</v>
      </c>
      <c r="T108" s="6">
        <f t="shared" si="51"/>
        <v>-12120369.694726761</v>
      </c>
      <c r="U108" s="6"/>
      <c r="V108">
        <v>87</v>
      </c>
      <c r="W108" s="6">
        <f t="shared" si="59"/>
        <v>325419773.88436419</v>
      </c>
      <c r="X108" s="6">
        <f t="shared" si="60"/>
        <v>3668777.8030261868</v>
      </c>
      <c r="Y108" s="6">
        <f t="shared" si="61"/>
        <v>329088551.68739039</v>
      </c>
      <c r="Z108" s="6">
        <f t="shared" si="38"/>
        <v>11575665.239051715</v>
      </c>
      <c r="AA108" s="6">
        <f t="shared" si="62"/>
        <v>317512886.44833869</v>
      </c>
      <c r="AB108" s="6">
        <f t="shared" si="63"/>
        <v>7906887.4360255282</v>
      </c>
      <c r="AC108" s="6">
        <f t="shared" si="52"/>
        <v>-12120369.694726761</v>
      </c>
      <c r="AD108" s="6"/>
      <c r="AE108" s="6"/>
      <c r="AF108" s="6"/>
      <c r="AH108">
        <v>87</v>
      </c>
      <c r="AI108" s="6">
        <f t="shared" si="53"/>
        <v>385145.51436908578</v>
      </c>
      <c r="AJ108" s="4">
        <f t="shared" si="54"/>
        <v>3071.2044171414627</v>
      </c>
      <c r="AK108" s="6">
        <f t="shared" si="55"/>
        <v>388216.71878622723</v>
      </c>
      <c r="AL108" s="4">
        <f t="shared" si="56"/>
        <v>12977.546329505407</v>
      </c>
      <c r="AM108" s="6">
        <f t="shared" si="57"/>
        <v>375239.17245672183</v>
      </c>
      <c r="AN108" s="6">
        <f t="shared" si="58"/>
        <v>9906.3419123639433</v>
      </c>
    </row>
    <row r="109" spans="2:40" x14ac:dyDescent="0.25">
      <c r="B109">
        <v>88</v>
      </c>
      <c r="C109" s="6">
        <f t="shared" si="33"/>
        <v>630361.36044881551</v>
      </c>
      <c r="D109" s="4">
        <f t="shared" si="39"/>
        <v>5026.5900091736785</v>
      </c>
      <c r="E109" s="6">
        <f t="shared" si="34"/>
        <v>635387.95045798924</v>
      </c>
      <c r="F109" s="4">
        <f t="shared" si="35"/>
        <v>21800.878906101399</v>
      </c>
      <c r="G109" s="6">
        <f t="shared" si="36"/>
        <v>613587.07155188778</v>
      </c>
      <c r="H109" s="6">
        <f t="shared" si="37"/>
        <v>16774.288896927719</v>
      </c>
      <c r="I109" s="6">
        <f t="shared" si="40"/>
        <v>557.77790810847182</v>
      </c>
      <c r="J109" s="6">
        <f t="shared" si="41"/>
        <v>350454344.65361601</v>
      </c>
      <c r="K109" s="6">
        <f t="shared" si="42"/>
        <v>2794572.1581873731</v>
      </c>
      <c r="L109" s="6">
        <f t="shared" si="43"/>
        <v>1147296.3299369921</v>
      </c>
      <c r="M109" s="6">
        <f t="shared" si="44"/>
        <v>9148.7020484834811</v>
      </c>
      <c r="N109" s="6">
        <f t="shared" si="45"/>
        <v>3951017.1901728483</v>
      </c>
      <c r="O109" s="6">
        <f t="shared" si="46"/>
        <v>354405361.84378886</v>
      </c>
      <c r="P109" s="6">
        <f t="shared" si="47"/>
        <v>12160048.631171348</v>
      </c>
      <c r="Q109" s="6">
        <f t="shared" si="48"/>
        <v>342245313.21261752</v>
      </c>
      <c r="R109" s="6">
        <f t="shared" si="49"/>
        <v>8209031.4409984993</v>
      </c>
      <c r="S109" s="6">
        <f t="shared" si="50"/>
        <v>-21800.878906101399</v>
      </c>
      <c r="T109" s="6">
        <f t="shared" si="51"/>
        <v>-12160048.631171348</v>
      </c>
      <c r="U109" s="6"/>
      <c r="V109">
        <v>88</v>
      </c>
      <c r="W109" s="6">
        <f t="shared" si="59"/>
        <v>317512886.44833869</v>
      </c>
      <c r="X109" s="6">
        <f t="shared" si="60"/>
        <v>3579635.6689448538</v>
      </c>
      <c r="Y109" s="6">
        <f t="shared" si="61"/>
        <v>321092522.11728352</v>
      </c>
      <c r="Z109" s="6">
        <f t="shared" si="38"/>
        <v>11575665.239051715</v>
      </c>
      <c r="AA109" s="6">
        <f t="shared" si="62"/>
        <v>309516856.87823182</v>
      </c>
      <c r="AB109" s="6">
        <f t="shared" si="63"/>
        <v>7996029.5701068603</v>
      </c>
      <c r="AC109" s="6">
        <f t="shared" si="52"/>
        <v>-12160048.631171348</v>
      </c>
      <c r="AD109" s="6"/>
      <c r="AE109" s="6"/>
      <c r="AF109" s="6"/>
      <c r="AH109">
        <v>88</v>
      </c>
      <c r="AI109" s="6">
        <f t="shared" si="53"/>
        <v>375239.17245672183</v>
      </c>
      <c r="AJ109" s="4">
        <f t="shared" si="54"/>
        <v>2992.2098555955372</v>
      </c>
      <c r="AK109" s="6">
        <f t="shared" si="55"/>
        <v>378231.38231231738</v>
      </c>
      <c r="AL109" s="4">
        <f t="shared" si="56"/>
        <v>12977.546329505407</v>
      </c>
      <c r="AM109" s="6">
        <f t="shared" si="57"/>
        <v>365253.83598281199</v>
      </c>
      <c r="AN109" s="6">
        <f t="shared" si="58"/>
        <v>9985.3364739098688</v>
      </c>
    </row>
    <row r="110" spans="2:40" x14ac:dyDescent="0.25">
      <c r="B110">
        <v>89</v>
      </c>
      <c r="C110" s="6">
        <f t="shared" si="33"/>
        <v>613587.07155188778</v>
      </c>
      <c r="D110" s="4">
        <f t="shared" si="39"/>
        <v>4892.8294739145749</v>
      </c>
      <c r="E110" s="6">
        <f t="shared" si="34"/>
        <v>618479.90102580236</v>
      </c>
      <c r="F110" s="4">
        <f t="shared" si="35"/>
        <v>21800.878906101399</v>
      </c>
      <c r="G110" s="6">
        <f t="shared" si="36"/>
        <v>596679.02211970091</v>
      </c>
      <c r="H110" s="6">
        <f t="shared" si="37"/>
        <v>16908.049432186825</v>
      </c>
      <c r="I110" s="6">
        <f t="shared" si="40"/>
        <v>559.60392783587827</v>
      </c>
      <c r="J110" s="6">
        <f t="shared" si="41"/>
        <v>342245313.21261752</v>
      </c>
      <c r="K110" s="6">
        <f t="shared" si="42"/>
        <v>2729112.1886915648</v>
      </c>
      <c r="L110" s="6">
        <f t="shared" si="43"/>
        <v>1120422.0971352737</v>
      </c>
      <c r="M110" s="6">
        <f t="shared" si="44"/>
        <v>8934.4031422035259</v>
      </c>
      <c r="N110" s="6">
        <f t="shared" si="45"/>
        <v>3858468.6889690422</v>
      </c>
      <c r="O110" s="6">
        <f t="shared" si="46"/>
        <v>346103781.90158653</v>
      </c>
      <c r="P110" s="6">
        <f t="shared" si="47"/>
        <v>12199857.466128688</v>
      </c>
      <c r="Q110" s="6">
        <f t="shared" si="48"/>
        <v>333903924.43545783</v>
      </c>
      <c r="R110" s="6">
        <f t="shared" si="49"/>
        <v>8341388.7771596462</v>
      </c>
      <c r="S110" s="6">
        <f t="shared" si="50"/>
        <v>-21800.878906101399</v>
      </c>
      <c r="T110" s="6">
        <f t="shared" si="51"/>
        <v>-12199857.466128688</v>
      </c>
      <c r="U110" s="6"/>
      <c r="V110">
        <v>89</v>
      </c>
      <c r="W110" s="6">
        <f t="shared" si="59"/>
        <v>309516856.87823182</v>
      </c>
      <c r="X110" s="6">
        <f t="shared" si="60"/>
        <v>3489488.5477389577</v>
      </c>
      <c r="Y110" s="6">
        <f t="shared" si="61"/>
        <v>313006345.42597079</v>
      </c>
      <c r="Z110" s="6">
        <f t="shared" si="38"/>
        <v>11575665.239051715</v>
      </c>
      <c r="AA110" s="6">
        <f t="shared" si="62"/>
        <v>301430680.18691909</v>
      </c>
      <c r="AB110" s="6">
        <f t="shared" si="63"/>
        <v>8086176.6913127564</v>
      </c>
      <c r="AC110" s="6">
        <f t="shared" si="52"/>
        <v>-12199857.466128688</v>
      </c>
      <c r="AD110" s="6"/>
      <c r="AE110" s="6"/>
      <c r="AF110" s="6"/>
      <c r="AH110">
        <v>89</v>
      </c>
      <c r="AI110" s="6">
        <f t="shared" si="53"/>
        <v>365253.83598281199</v>
      </c>
      <c r="AJ110" s="4">
        <f t="shared" si="54"/>
        <v>2912.5853803227255</v>
      </c>
      <c r="AK110" s="6">
        <f t="shared" si="55"/>
        <v>368166.42136313469</v>
      </c>
      <c r="AL110" s="4">
        <f t="shared" si="56"/>
        <v>12977.546329505407</v>
      </c>
      <c r="AM110" s="6">
        <f t="shared" si="57"/>
        <v>355188.8750336293</v>
      </c>
      <c r="AN110" s="6">
        <f t="shared" si="58"/>
        <v>10064.960949182681</v>
      </c>
    </row>
    <row r="111" spans="2:40" x14ac:dyDescent="0.25">
      <c r="B111">
        <v>90</v>
      </c>
      <c r="C111" s="6">
        <f t="shared" si="33"/>
        <v>596679.02211970091</v>
      </c>
      <c r="D111" s="4">
        <f t="shared" si="39"/>
        <v>4758.0023133634704</v>
      </c>
      <c r="E111" s="6">
        <f t="shared" si="34"/>
        <v>601437.02443306439</v>
      </c>
      <c r="F111" s="4">
        <f t="shared" si="35"/>
        <v>21800.878906101399</v>
      </c>
      <c r="G111" s="6">
        <f t="shared" si="36"/>
        <v>579636.14552696294</v>
      </c>
      <c r="H111" s="6">
        <f t="shared" si="37"/>
        <v>17042.876592737928</v>
      </c>
      <c r="I111" s="6">
        <f t="shared" si="40"/>
        <v>561.43592547670937</v>
      </c>
      <c r="J111" s="6">
        <f t="shared" si="41"/>
        <v>333903924.43545783</v>
      </c>
      <c r="K111" s="6">
        <f t="shared" si="42"/>
        <v>2662596.7832104117</v>
      </c>
      <c r="L111" s="6">
        <f t="shared" si="43"/>
        <v>1093114.5608566985</v>
      </c>
      <c r="M111" s="6">
        <f t="shared" si="44"/>
        <v>8716.6490131507835</v>
      </c>
      <c r="N111" s="6">
        <f t="shared" si="45"/>
        <v>3764427.9930802612</v>
      </c>
      <c r="O111" s="6">
        <f t="shared" si="46"/>
        <v>337668352.42853808</v>
      </c>
      <c r="P111" s="6">
        <f t="shared" si="47"/>
        <v>12239796.624852711</v>
      </c>
      <c r="Q111" s="6">
        <f t="shared" si="48"/>
        <v>325428555.80368537</v>
      </c>
      <c r="R111" s="6">
        <f t="shared" si="49"/>
        <v>8475368.6317724511</v>
      </c>
      <c r="S111" s="6">
        <f t="shared" si="50"/>
        <v>-21800.878906101399</v>
      </c>
      <c r="T111" s="6">
        <f t="shared" si="51"/>
        <v>-12239796.624852711</v>
      </c>
      <c r="U111" s="6"/>
      <c r="V111">
        <v>90</v>
      </c>
      <c r="W111" s="6">
        <f t="shared" si="59"/>
        <v>301430680.18691909</v>
      </c>
      <c r="X111" s="6">
        <f t="shared" si="60"/>
        <v>3398325.1091982573</v>
      </c>
      <c r="Y111" s="6">
        <f t="shared" si="61"/>
        <v>304829005.29611737</v>
      </c>
      <c r="Z111" s="6">
        <f t="shared" si="38"/>
        <v>11575665.239051715</v>
      </c>
      <c r="AA111" s="6">
        <f t="shared" si="62"/>
        <v>293253340.05706567</v>
      </c>
      <c r="AB111" s="6">
        <f t="shared" si="63"/>
        <v>8177340.1298534572</v>
      </c>
      <c r="AC111" s="6">
        <f t="shared" si="52"/>
        <v>-12239796.624852711</v>
      </c>
      <c r="AD111" s="6"/>
      <c r="AE111" s="6"/>
      <c r="AF111" s="6"/>
      <c r="AH111">
        <v>90</v>
      </c>
      <c r="AI111" s="6">
        <f t="shared" si="53"/>
        <v>355188.8750336293</v>
      </c>
      <c r="AJ111" s="4">
        <f t="shared" si="54"/>
        <v>2832.3259683025103</v>
      </c>
      <c r="AK111" s="6">
        <f t="shared" si="55"/>
        <v>358021.2010019318</v>
      </c>
      <c r="AL111" s="4">
        <f t="shared" si="56"/>
        <v>12977.546329505407</v>
      </c>
      <c r="AM111" s="6">
        <f t="shared" si="57"/>
        <v>345043.6546724264</v>
      </c>
      <c r="AN111" s="6">
        <f t="shared" si="58"/>
        <v>10145.220361202897</v>
      </c>
    </row>
    <row r="112" spans="2:40" x14ac:dyDescent="0.25">
      <c r="B112">
        <v>91</v>
      </c>
      <c r="C112" s="6">
        <f t="shared" si="33"/>
        <v>579636.14552696294</v>
      </c>
      <c r="D112" s="4">
        <f t="shared" si="39"/>
        <v>4622.1000221005006</v>
      </c>
      <c r="E112" s="6">
        <f t="shared" si="34"/>
        <v>584258.24554906343</v>
      </c>
      <c r="F112" s="4">
        <f t="shared" si="35"/>
        <v>21800.878906101399</v>
      </c>
      <c r="G112" s="6">
        <f t="shared" si="36"/>
        <v>562457.36664296198</v>
      </c>
      <c r="H112" s="6">
        <f t="shared" si="37"/>
        <v>17178.778884000898</v>
      </c>
      <c r="I112" s="6">
        <f t="shared" si="40"/>
        <v>563.2739206010981</v>
      </c>
      <c r="J112" s="6">
        <f t="shared" si="41"/>
        <v>325428555.80368537</v>
      </c>
      <c r="K112" s="6">
        <f t="shared" si="42"/>
        <v>2595013.0035539321</v>
      </c>
      <c r="L112" s="6">
        <f t="shared" si="43"/>
        <v>1065368.4093980643</v>
      </c>
      <c r="M112" s="6">
        <f t="shared" si="44"/>
        <v>8495.3973050580007</v>
      </c>
      <c r="N112" s="6">
        <f t="shared" si="45"/>
        <v>3668876.8102570539</v>
      </c>
      <c r="O112" s="6">
        <f t="shared" si="46"/>
        <v>329097432.61394244</v>
      </c>
      <c r="P112" s="6">
        <f t="shared" si="47"/>
        <v>12279866.533989513</v>
      </c>
      <c r="Q112" s="6">
        <f t="shared" si="48"/>
        <v>316817566.07995296</v>
      </c>
      <c r="R112" s="6">
        <f t="shared" si="49"/>
        <v>8610989.7237324603</v>
      </c>
      <c r="S112" s="6">
        <f t="shared" si="50"/>
        <v>-21800.878906101399</v>
      </c>
      <c r="T112" s="6">
        <f t="shared" si="51"/>
        <v>-12279866.533989513</v>
      </c>
      <c r="U112" s="6"/>
      <c r="V112">
        <v>91</v>
      </c>
      <c r="W112" s="6">
        <f t="shared" si="59"/>
        <v>293253340.05706567</v>
      </c>
      <c r="X112" s="6">
        <f t="shared" si="60"/>
        <v>3306133.8953758851</v>
      </c>
      <c r="Y112" s="6">
        <f t="shared" si="61"/>
        <v>296559473.95244157</v>
      </c>
      <c r="Z112" s="6">
        <f t="shared" si="38"/>
        <v>11575665.239051715</v>
      </c>
      <c r="AA112" s="6">
        <f t="shared" si="62"/>
        <v>284983808.71338987</v>
      </c>
      <c r="AB112" s="6">
        <f t="shared" si="63"/>
        <v>8269531.3436758295</v>
      </c>
      <c r="AC112" s="6">
        <f t="shared" si="52"/>
        <v>-12279866.533989513</v>
      </c>
      <c r="AD112" s="6"/>
      <c r="AE112" s="6"/>
      <c r="AF112" s="6"/>
      <c r="AH112">
        <v>91</v>
      </c>
      <c r="AI112" s="6">
        <f t="shared" si="53"/>
        <v>345043.6546724264</v>
      </c>
      <c r="AJ112" s="4">
        <f t="shared" si="54"/>
        <v>2751.4265564601046</v>
      </c>
      <c r="AK112" s="6">
        <f t="shared" si="55"/>
        <v>347795.0812288865</v>
      </c>
      <c r="AL112" s="4">
        <f t="shared" si="56"/>
        <v>12977.546329505407</v>
      </c>
      <c r="AM112" s="6">
        <f t="shared" si="57"/>
        <v>334817.53489938111</v>
      </c>
      <c r="AN112" s="6">
        <f t="shared" si="58"/>
        <v>10226.119773045302</v>
      </c>
    </row>
    <row r="113" spans="2:40" x14ac:dyDescent="0.25">
      <c r="B113">
        <v>92</v>
      </c>
      <c r="C113" s="6">
        <f t="shared" si="33"/>
        <v>562457.36664296198</v>
      </c>
      <c r="D113" s="4">
        <f t="shared" si="39"/>
        <v>4485.114026882391</v>
      </c>
      <c r="E113" s="6">
        <f t="shared" si="34"/>
        <v>566942.48066984431</v>
      </c>
      <c r="F113" s="4">
        <f t="shared" si="35"/>
        <v>21800.878906101399</v>
      </c>
      <c r="G113" s="6">
        <f t="shared" si="36"/>
        <v>545141.60176374286</v>
      </c>
      <c r="H113" s="6">
        <f t="shared" si="37"/>
        <v>17315.764879219008</v>
      </c>
      <c r="I113" s="6">
        <f t="shared" si="40"/>
        <v>565.11793284324506</v>
      </c>
      <c r="J113" s="6">
        <f t="shared" si="41"/>
        <v>316817566.07995296</v>
      </c>
      <c r="K113" s="6">
        <f t="shared" si="42"/>
        <v>2526347.7622650429</v>
      </c>
      <c r="L113" s="6">
        <f t="shared" si="43"/>
        <v>1037178.2697753754</v>
      </c>
      <c r="M113" s="6">
        <f t="shared" si="44"/>
        <v>8270.6051729962765</v>
      </c>
      <c r="N113" s="6">
        <f t="shared" si="45"/>
        <v>3571796.6372134145</v>
      </c>
      <c r="O113" s="6">
        <f t="shared" si="46"/>
        <v>320389362.71716636</v>
      </c>
      <c r="P113" s="6">
        <f t="shared" si="47"/>
        <v>12320067.621581929</v>
      </c>
      <c r="Q113" s="6">
        <f t="shared" si="48"/>
        <v>308069295.09558445</v>
      </c>
      <c r="R113" s="6">
        <f t="shared" si="49"/>
        <v>8748270.9843685143</v>
      </c>
      <c r="S113" s="6">
        <f t="shared" si="50"/>
        <v>-21800.878906101399</v>
      </c>
      <c r="T113" s="6">
        <f t="shared" si="51"/>
        <v>-12320067.621581929</v>
      </c>
      <c r="U113" s="6"/>
      <c r="V113">
        <v>92</v>
      </c>
      <c r="W113" s="6">
        <f t="shared" si="59"/>
        <v>284983808.71338987</v>
      </c>
      <c r="X113" s="6">
        <f t="shared" si="60"/>
        <v>3212903.3191482467</v>
      </c>
      <c r="Y113" s="6">
        <f t="shared" si="61"/>
        <v>288196712.03253812</v>
      </c>
      <c r="Z113" s="6">
        <f t="shared" si="38"/>
        <v>11575665.239051715</v>
      </c>
      <c r="AA113" s="6">
        <f t="shared" si="62"/>
        <v>276621046.79348642</v>
      </c>
      <c r="AB113" s="6">
        <f t="shared" si="63"/>
        <v>8362761.9199034683</v>
      </c>
      <c r="AC113" s="6">
        <f t="shared" si="52"/>
        <v>-12320067.621581929</v>
      </c>
      <c r="AD113" s="6"/>
      <c r="AE113" s="6"/>
      <c r="AF113" s="6"/>
      <c r="AH113">
        <v>92</v>
      </c>
      <c r="AI113" s="6">
        <f t="shared" si="53"/>
        <v>334817.53489938111</v>
      </c>
      <c r="AJ113" s="4">
        <f t="shared" si="54"/>
        <v>2669.8820413470521</v>
      </c>
      <c r="AK113" s="6">
        <f t="shared" si="55"/>
        <v>337487.41694072814</v>
      </c>
      <c r="AL113" s="4">
        <f t="shared" si="56"/>
        <v>12977.546329505407</v>
      </c>
      <c r="AM113" s="6">
        <f t="shared" si="57"/>
        <v>324509.87061122275</v>
      </c>
      <c r="AN113" s="6">
        <f t="shared" si="58"/>
        <v>10307.664288158354</v>
      </c>
    </row>
    <row r="114" spans="2:40" x14ac:dyDescent="0.25">
      <c r="B114">
        <v>93</v>
      </c>
      <c r="C114" s="6">
        <f t="shared" si="33"/>
        <v>545141.60176374286</v>
      </c>
      <c r="D114" s="4">
        <f t="shared" si="39"/>
        <v>4347.0356861016171</v>
      </c>
      <c r="E114" s="6">
        <f t="shared" si="34"/>
        <v>549488.63744984451</v>
      </c>
      <c r="F114" s="4">
        <f t="shared" si="35"/>
        <v>21800.878906101399</v>
      </c>
      <c r="G114" s="6">
        <f t="shared" si="36"/>
        <v>527687.75854374305</v>
      </c>
      <c r="H114" s="6">
        <f t="shared" si="37"/>
        <v>17453.843219999784</v>
      </c>
      <c r="I114" s="6">
        <f t="shared" si="40"/>
        <v>566.96798190162804</v>
      </c>
      <c r="J114" s="6">
        <f t="shared" si="41"/>
        <v>308069295.09558445</v>
      </c>
      <c r="K114" s="6">
        <f t="shared" si="42"/>
        <v>2456587.8209255841</v>
      </c>
      <c r="L114" s="6">
        <f t="shared" si="43"/>
        <v>1008538.7070283918</v>
      </c>
      <c r="M114" s="6">
        <f t="shared" si="44"/>
        <v>8042.2292778294277</v>
      </c>
      <c r="N114" s="6">
        <f t="shared" si="45"/>
        <v>3473168.7572318055</v>
      </c>
      <c r="O114" s="6">
        <f t="shared" si="46"/>
        <v>311542463.85281628</v>
      </c>
      <c r="P114" s="6">
        <f t="shared" si="47"/>
        <v>12360400.317074083</v>
      </c>
      <c r="Q114" s="6">
        <f t="shared" si="48"/>
        <v>299182063.53574222</v>
      </c>
      <c r="R114" s="6">
        <f t="shared" si="49"/>
        <v>8887231.5598422773</v>
      </c>
      <c r="S114" s="6">
        <f t="shared" si="50"/>
        <v>-21800.878906101399</v>
      </c>
      <c r="T114" s="6">
        <f t="shared" si="51"/>
        <v>-12360400.317074083</v>
      </c>
      <c r="U114" s="6"/>
      <c r="V114">
        <v>93</v>
      </c>
      <c r="W114" s="6">
        <f t="shared" si="59"/>
        <v>276621046.79348642</v>
      </c>
      <c r="X114" s="6">
        <f t="shared" si="60"/>
        <v>3118621.6627586847</v>
      </c>
      <c r="Y114" s="6">
        <f t="shared" si="61"/>
        <v>279739668.45624512</v>
      </c>
      <c r="Z114" s="6">
        <f t="shared" si="38"/>
        <v>11575665.239051715</v>
      </c>
      <c r="AA114" s="6">
        <f t="shared" si="62"/>
        <v>268164003.21719342</v>
      </c>
      <c r="AB114" s="6">
        <f t="shared" si="63"/>
        <v>8457043.5762930289</v>
      </c>
      <c r="AC114" s="6">
        <f t="shared" si="52"/>
        <v>-12360400.317074083</v>
      </c>
      <c r="AD114" s="6"/>
      <c r="AE114" s="6"/>
      <c r="AF114" s="6"/>
      <c r="AH114">
        <v>93</v>
      </c>
      <c r="AI114" s="6">
        <f t="shared" si="53"/>
        <v>324509.87061122275</v>
      </c>
      <c r="AJ114" s="4">
        <f t="shared" si="54"/>
        <v>2587.6872788192809</v>
      </c>
      <c r="AK114" s="6">
        <f t="shared" si="55"/>
        <v>327097.55789004202</v>
      </c>
      <c r="AL114" s="4">
        <f t="shared" si="56"/>
        <v>12977.546329505407</v>
      </c>
      <c r="AM114" s="6">
        <f t="shared" si="57"/>
        <v>314120.01156053663</v>
      </c>
      <c r="AN114" s="6">
        <f t="shared" si="58"/>
        <v>10389.859050686126</v>
      </c>
    </row>
    <row r="115" spans="2:40" x14ac:dyDescent="0.25">
      <c r="B115">
        <v>94</v>
      </c>
      <c r="C115" s="6">
        <f t="shared" si="33"/>
        <v>527687.75854374305</v>
      </c>
      <c r="D115" s="4">
        <f t="shared" si="39"/>
        <v>4207.8562892412692</v>
      </c>
      <c r="E115" s="6">
        <f t="shared" si="34"/>
        <v>531895.61483298428</v>
      </c>
      <c r="F115" s="4">
        <f t="shared" si="35"/>
        <v>21800.878906101399</v>
      </c>
      <c r="G115" s="6">
        <f t="shared" si="36"/>
        <v>510094.73592688289</v>
      </c>
      <c r="H115" s="6">
        <f t="shared" si="37"/>
        <v>17593.022616860129</v>
      </c>
      <c r="I115" s="6">
        <f t="shared" si="40"/>
        <v>568.82408753921243</v>
      </c>
      <c r="J115" s="6">
        <f t="shared" si="41"/>
        <v>299182063.53574222</v>
      </c>
      <c r="K115" s="6">
        <f t="shared" si="42"/>
        <v>2385719.7884432166</v>
      </c>
      <c r="L115" s="6">
        <f t="shared" si="43"/>
        <v>979444.22351732256</v>
      </c>
      <c r="M115" s="6">
        <f t="shared" si="44"/>
        <v>7810.225780605736</v>
      </c>
      <c r="N115" s="6">
        <f t="shared" si="45"/>
        <v>3372974.2377411448</v>
      </c>
      <c r="O115" s="6">
        <f t="shared" si="46"/>
        <v>302555037.7734834</v>
      </c>
      <c r="P115" s="6">
        <f t="shared" si="47"/>
        <v>12400865.051315991</v>
      </c>
      <c r="Q115" s="6">
        <f t="shared" si="48"/>
        <v>290154172.72216743</v>
      </c>
      <c r="R115" s="6">
        <f t="shared" si="49"/>
        <v>9027890.8135748468</v>
      </c>
      <c r="S115" s="6">
        <f t="shared" si="50"/>
        <v>-21800.878906101399</v>
      </c>
      <c r="T115" s="6">
        <f t="shared" si="51"/>
        <v>-12400865.051315991</v>
      </c>
      <c r="U115" s="6"/>
      <c r="V115">
        <v>94</v>
      </c>
      <c r="W115" s="6">
        <f t="shared" si="59"/>
        <v>268164003.21719342</v>
      </c>
      <c r="X115" s="6">
        <f t="shared" si="60"/>
        <v>3023277.0763447252</v>
      </c>
      <c r="Y115" s="6">
        <f t="shared" si="61"/>
        <v>271187280.29353815</v>
      </c>
      <c r="Z115" s="6">
        <f t="shared" si="38"/>
        <v>11575665.239051715</v>
      </c>
      <c r="AA115" s="6">
        <f t="shared" si="62"/>
        <v>259611615.05448645</v>
      </c>
      <c r="AB115" s="6">
        <f t="shared" si="63"/>
        <v>8552388.1627069898</v>
      </c>
      <c r="AC115" s="6">
        <f t="shared" si="52"/>
        <v>-12400865.051315991</v>
      </c>
      <c r="AD115" s="6"/>
      <c r="AE115" s="6"/>
      <c r="AF115" s="6"/>
      <c r="AH115">
        <v>94</v>
      </c>
      <c r="AI115" s="6">
        <f t="shared" si="53"/>
        <v>314120.01156053663</v>
      </c>
      <c r="AJ115" s="4">
        <f t="shared" si="54"/>
        <v>2504.8370837125931</v>
      </c>
      <c r="AK115" s="6">
        <f t="shared" si="55"/>
        <v>316624.8486442492</v>
      </c>
      <c r="AL115" s="4">
        <f t="shared" si="56"/>
        <v>12977.546329505407</v>
      </c>
      <c r="AM115" s="6">
        <f t="shared" si="57"/>
        <v>303647.30231474381</v>
      </c>
      <c r="AN115" s="6">
        <f t="shared" si="58"/>
        <v>10472.709245792814</v>
      </c>
    </row>
    <row r="116" spans="2:40" x14ac:dyDescent="0.25">
      <c r="B116">
        <v>95</v>
      </c>
      <c r="C116" s="6">
        <f t="shared" si="33"/>
        <v>510094.73592688289</v>
      </c>
      <c r="D116" s="4">
        <f t="shared" si="39"/>
        <v>4067.5670563255462</v>
      </c>
      <c r="E116" s="6">
        <f t="shared" si="34"/>
        <v>514162.30298320844</v>
      </c>
      <c r="F116" s="4">
        <f t="shared" si="35"/>
        <v>21800.878906101399</v>
      </c>
      <c r="G116" s="6">
        <f t="shared" si="36"/>
        <v>492361.42407710705</v>
      </c>
      <c r="H116" s="6">
        <f t="shared" si="37"/>
        <v>17733.311849775855</v>
      </c>
      <c r="I116" s="6">
        <f t="shared" si="40"/>
        <v>570.68626958366258</v>
      </c>
      <c r="J116" s="6">
        <f t="shared" si="41"/>
        <v>290154172.72216743</v>
      </c>
      <c r="K116" s="6">
        <f t="shared" si="42"/>
        <v>2313730.1193189612</v>
      </c>
      <c r="L116" s="6">
        <f t="shared" si="43"/>
        <v>949889.25821157463</v>
      </c>
      <c r="M116" s="6">
        <f t="shared" si="44"/>
        <v>7574.5503368863247</v>
      </c>
      <c r="N116" s="6">
        <f t="shared" si="45"/>
        <v>3271193.9278674219</v>
      </c>
      <c r="O116" s="6">
        <f t="shared" si="46"/>
        <v>293425366.65003484</v>
      </c>
      <c r="P116" s="6">
        <f t="shared" si="47"/>
        <v>12441462.256568165</v>
      </c>
      <c r="Q116" s="6">
        <f t="shared" si="48"/>
        <v>280983904.39346665</v>
      </c>
      <c r="R116" s="6">
        <f t="shared" si="49"/>
        <v>9170268.3287007436</v>
      </c>
      <c r="S116" s="6">
        <f t="shared" si="50"/>
        <v>-21800.878906101399</v>
      </c>
      <c r="T116" s="6">
        <f t="shared" si="51"/>
        <v>-12441462.256568165</v>
      </c>
      <c r="U116" s="6"/>
      <c r="V116">
        <v>95</v>
      </c>
      <c r="W116" s="6">
        <f t="shared" si="59"/>
        <v>259611615.05448645</v>
      </c>
      <c r="X116" s="6">
        <f t="shared" si="60"/>
        <v>2926857.5764487148</v>
      </c>
      <c r="Y116" s="6">
        <f t="shared" si="61"/>
        <v>262538472.63093516</v>
      </c>
      <c r="Z116" s="6">
        <f t="shared" si="38"/>
        <v>11575665.239051715</v>
      </c>
      <c r="AA116" s="6">
        <f t="shared" si="62"/>
        <v>250962807.39188343</v>
      </c>
      <c r="AB116" s="6">
        <f t="shared" si="63"/>
        <v>8648807.6626030002</v>
      </c>
      <c r="AC116" s="6">
        <f t="shared" si="52"/>
        <v>-12441462.256568165</v>
      </c>
      <c r="AD116" s="6"/>
      <c r="AE116" s="6"/>
      <c r="AF116" s="6"/>
      <c r="AH116">
        <v>95</v>
      </c>
      <c r="AI116" s="6">
        <f t="shared" si="53"/>
        <v>303647.30231474381</v>
      </c>
      <c r="AJ116" s="4">
        <f t="shared" si="54"/>
        <v>2421.3262295155623</v>
      </c>
      <c r="AK116" s="6">
        <f t="shared" si="55"/>
        <v>306068.62854425935</v>
      </c>
      <c r="AL116" s="4">
        <f t="shared" si="56"/>
        <v>12977.546329505407</v>
      </c>
      <c r="AM116" s="6">
        <f t="shared" si="57"/>
        <v>293091.08221475396</v>
      </c>
      <c r="AN116" s="6">
        <f t="shared" si="58"/>
        <v>10556.220099989845</v>
      </c>
    </row>
    <row r="117" spans="2:40" x14ac:dyDescent="0.25">
      <c r="B117">
        <v>96</v>
      </c>
      <c r="C117" s="6">
        <f t="shared" si="33"/>
        <v>492361.42407710705</v>
      </c>
      <c r="D117" s="4">
        <f t="shared" si="39"/>
        <v>3926.1591373658907</v>
      </c>
      <c r="E117" s="6">
        <f t="shared" si="34"/>
        <v>496287.58321447292</v>
      </c>
      <c r="F117" s="4">
        <f t="shared" si="35"/>
        <v>21800.878906101399</v>
      </c>
      <c r="G117" s="6">
        <f t="shared" si="36"/>
        <v>474486.70430837153</v>
      </c>
      <c r="H117" s="6">
        <f t="shared" si="37"/>
        <v>17874.719768735507</v>
      </c>
      <c r="I117" s="6">
        <f t="shared" si="40"/>
        <v>572.55454792755336</v>
      </c>
      <c r="J117" s="6">
        <f t="shared" si="41"/>
        <v>280983904.39346665</v>
      </c>
      <c r="K117" s="6">
        <f t="shared" si="42"/>
        <v>2240605.1118951724</v>
      </c>
      <c r="L117" s="6">
        <f t="shared" si="43"/>
        <v>919868.1859704681</v>
      </c>
      <c r="M117" s="6">
        <f t="shared" si="44"/>
        <v>7335.1580910094763</v>
      </c>
      <c r="N117" s="6">
        <f t="shared" si="45"/>
        <v>3167808.45595665</v>
      </c>
      <c r="O117" s="6">
        <f t="shared" si="46"/>
        <v>284151712.84942329</v>
      </c>
      <c r="P117" s="6">
        <f t="shared" si="47"/>
        <v>12482192.366506221</v>
      </c>
      <c r="Q117" s="6">
        <f t="shared" si="48"/>
        <v>271669520.48291707</v>
      </c>
      <c r="R117" s="6">
        <f t="shared" si="49"/>
        <v>9314383.9105495699</v>
      </c>
      <c r="S117" s="6">
        <f t="shared" si="50"/>
        <v>-21800.878906101399</v>
      </c>
      <c r="T117" s="6">
        <f t="shared" si="51"/>
        <v>-12482192.366506221</v>
      </c>
      <c r="U117" s="6"/>
      <c r="V117">
        <v>96</v>
      </c>
      <c r="W117" s="6">
        <f t="shared" si="59"/>
        <v>250962807.39188343</v>
      </c>
      <c r="X117" s="6">
        <f t="shared" si="60"/>
        <v>2829351.0445116726</v>
      </c>
      <c r="Y117" s="6">
        <f t="shared" si="61"/>
        <v>253792158.43639511</v>
      </c>
      <c r="Z117" s="6">
        <f t="shared" si="38"/>
        <v>11575665.239051715</v>
      </c>
      <c r="AA117" s="6">
        <f t="shared" si="62"/>
        <v>242216493.19734341</v>
      </c>
      <c r="AB117" s="6">
        <f t="shared" si="63"/>
        <v>8746314.1945400424</v>
      </c>
      <c r="AC117" s="6">
        <f t="shared" si="52"/>
        <v>-12482192.366506221</v>
      </c>
      <c r="AD117" s="6"/>
      <c r="AE117" s="6"/>
      <c r="AF117" s="6"/>
      <c r="AH117">
        <v>96</v>
      </c>
      <c r="AI117" s="6">
        <f t="shared" si="53"/>
        <v>293091.08221475396</v>
      </c>
      <c r="AJ117" s="4">
        <f t="shared" si="54"/>
        <v>2337.1494480398264</v>
      </c>
      <c r="AK117" s="6">
        <f t="shared" si="55"/>
        <v>295428.23166279378</v>
      </c>
      <c r="AL117" s="4">
        <f t="shared" si="56"/>
        <v>12977.546329505407</v>
      </c>
      <c r="AM117" s="6">
        <f t="shared" si="57"/>
        <v>282450.68533328839</v>
      </c>
      <c r="AN117" s="6">
        <f t="shared" si="58"/>
        <v>10640.39688146558</v>
      </c>
    </row>
    <row r="118" spans="2:40" x14ac:dyDescent="0.25">
      <c r="B118">
        <v>97</v>
      </c>
      <c r="C118" s="6">
        <f t="shared" si="33"/>
        <v>474486.70430837153</v>
      </c>
      <c r="D118" s="4">
        <f t="shared" si="39"/>
        <v>3783.6236118026914</v>
      </c>
      <c r="E118" s="6">
        <f t="shared" si="34"/>
        <v>478270.32792017423</v>
      </c>
      <c r="F118" s="4">
        <f t="shared" si="35"/>
        <v>21800.878906101399</v>
      </c>
      <c r="G118" s="6">
        <f t="shared" si="36"/>
        <v>456469.44901407283</v>
      </c>
      <c r="H118" s="6">
        <f t="shared" si="37"/>
        <v>18017.255294298709</v>
      </c>
      <c r="I118" s="6">
        <f t="shared" si="40"/>
        <v>574.42894252858275</v>
      </c>
      <c r="J118" s="6">
        <f t="shared" si="41"/>
        <v>271669520.48291707</v>
      </c>
      <c r="K118" s="6">
        <f t="shared" si="42"/>
        <v>2166330.9065837283</v>
      </c>
      <c r="L118" s="6">
        <f t="shared" si="43"/>
        <v>889375.31681582844</v>
      </c>
      <c r="M118" s="6">
        <f t="shared" si="44"/>
        <v>7092.0036702901916</v>
      </c>
      <c r="N118" s="6">
        <f t="shared" si="45"/>
        <v>3062798.2270698468</v>
      </c>
      <c r="O118" s="6">
        <f t="shared" si="46"/>
        <v>274732318.70998693</v>
      </c>
      <c r="P118" s="6">
        <f t="shared" si="47"/>
        <v>12523055.816225512</v>
      </c>
      <c r="Q118" s="6">
        <f t="shared" si="48"/>
        <v>262209262.89376143</v>
      </c>
      <c r="R118" s="6">
        <f t="shared" si="49"/>
        <v>9460257.5891556647</v>
      </c>
      <c r="S118" s="6">
        <f t="shared" si="50"/>
        <v>-21800.878906101399</v>
      </c>
      <c r="T118" s="6">
        <f t="shared" si="51"/>
        <v>-12523055.816225512</v>
      </c>
      <c r="U118" s="6"/>
      <c r="V118">
        <v>97</v>
      </c>
      <c r="W118" s="6">
        <f t="shared" si="59"/>
        <v>242216493.19734341</v>
      </c>
      <c r="X118" s="6">
        <f t="shared" si="60"/>
        <v>2730745.225350162</v>
      </c>
      <c r="Y118" s="6">
        <f t="shared" si="61"/>
        <v>244947238.42269358</v>
      </c>
      <c r="Z118" s="6">
        <f t="shared" si="38"/>
        <v>11575665.239051715</v>
      </c>
      <c r="AA118" s="6">
        <f t="shared" si="62"/>
        <v>233371573.18364185</v>
      </c>
      <c r="AB118" s="6">
        <f t="shared" si="63"/>
        <v>8844920.0137015525</v>
      </c>
      <c r="AC118" s="6">
        <f t="shared" si="52"/>
        <v>-12523055.816225512</v>
      </c>
      <c r="AD118" s="6"/>
      <c r="AE118" s="6"/>
      <c r="AF118" s="6"/>
      <c r="AH118">
        <v>97</v>
      </c>
      <c r="AI118" s="6">
        <f t="shared" si="53"/>
        <v>282450.68533328839</v>
      </c>
      <c r="AJ118" s="4">
        <f t="shared" si="54"/>
        <v>2252.3014290877504</v>
      </c>
      <c r="AK118" s="6">
        <f t="shared" si="55"/>
        <v>284702.98676237615</v>
      </c>
      <c r="AL118" s="4">
        <f t="shared" si="56"/>
        <v>12977.546329505407</v>
      </c>
      <c r="AM118" s="6">
        <f t="shared" si="57"/>
        <v>271725.44043287076</v>
      </c>
      <c r="AN118" s="6">
        <f t="shared" si="58"/>
        <v>10725.244900417656</v>
      </c>
    </row>
    <row r="119" spans="2:40" x14ac:dyDescent="0.25">
      <c r="B119">
        <v>98</v>
      </c>
      <c r="C119" s="6">
        <f t="shared" si="33"/>
        <v>456469.44901407283</v>
      </c>
      <c r="D119" s="4">
        <f t="shared" si="39"/>
        <v>3639.9514879425437</v>
      </c>
      <c r="E119" s="6">
        <f t="shared" si="34"/>
        <v>460109.40050201537</v>
      </c>
      <c r="F119" s="4">
        <f t="shared" si="35"/>
        <v>21800.878906101399</v>
      </c>
      <c r="G119" s="6">
        <f t="shared" si="36"/>
        <v>438308.52159591398</v>
      </c>
      <c r="H119" s="6">
        <f t="shared" si="37"/>
        <v>18160.927418158855</v>
      </c>
      <c r="I119" s="6">
        <f t="shared" si="40"/>
        <v>576.30947340978503</v>
      </c>
      <c r="J119" s="6">
        <f t="shared" si="41"/>
        <v>262209262.89376143</v>
      </c>
      <c r="K119" s="6">
        <f t="shared" si="42"/>
        <v>2090893.4840741986</v>
      </c>
      <c r="L119" s="6">
        <f t="shared" si="43"/>
        <v>858404.89519636042</v>
      </c>
      <c r="M119" s="6">
        <f t="shared" si="44"/>
        <v>6845.0411791541965</v>
      </c>
      <c r="N119" s="6">
        <f t="shared" si="45"/>
        <v>2956143.4204497132</v>
      </c>
      <c r="O119" s="6">
        <f t="shared" si="46"/>
        <v>265165406.31421113</v>
      </c>
      <c r="P119" s="6">
        <f t="shared" si="47"/>
        <v>12564053.042245788</v>
      </c>
      <c r="Q119" s="6">
        <f t="shared" si="48"/>
        <v>252601353.27196535</v>
      </c>
      <c r="R119" s="6">
        <f t="shared" si="49"/>
        <v>9607909.6217960753</v>
      </c>
      <c r="S119" s="6">
        <f t="shared" si="50"/>
        <v>-21800.878906101399</v>
      </c>
      <c r="T119" s="6">
        <f t="shared" si="51"/>
        <v>-12564053.042245788</v>
      </c>
      <c r="U119" s="6"/>
      <c r="V119">
        <v>98</v>
      </c>
      <c r="W119" s="6">
        <f t="shared" si="59"/>
        <v>233371573.18364185</v>
      </c>
      <c r="X119" s="6">
        <f t="shared" si="60"/>
        <v>2631027.7256159838</v>
      </c>
      <c r="Y119" s="6">
        <f t="shared" si="61"/>
        <v>236002600.90925783</v>
      </c>
      <c r="Z119" s="6">
        <f t="shared" si="38"/>
        <v>11575665.239051715</v>
      </c>
      <c r="AA119" s="6">
        <f t="shared" si="62"/>
        <v>224426935.67020613</v>
      </c>
      <c r="AB119" s="6">
        <f t="shared" si="63"/>
        <v>8944637.5134357307</v>
      </c>
      <c r="AC119" s="6">
        <f t="shared" si="52"/>
        <v>-12564053.042245788</v>
      </c>
      <c r="AD119" s="6"/>
      <c r="AE119" s="6"/>
      <c r="AF119" s="6"/>
      <c r="AH119">
        <v>98</v>
      </c>
      <c r="AI119" s="6">
        <f t="shared" si="53"/>
        <v>271725.44043287076</v>
      </c>
      <c r="AJ119" s="4">
        <f t="shared" si="54"/>
        <v>2166.7768201174363</v>
      </c>
      <c r="AK119" s="6">
        <f t="shared" si="55"/>
        <v>273892.21725298819</v>
      </c>
      <c r="AL119" s="4">
        <f t="shared" si="56"/>
        <v>12977.546329505407</v>
      </c>
      <c r="AM119" s="6">
        <f t="shared" si="57"/>
        <v>260914.6709234828</v>
      </c>
      <c r="AN119" s="6">
        <f t="shared" si="58"/>
        <v>10810.76950938797</v>
      </c>
    </row>
    <row r="120" spans="2:40" x14ac:dyDescent="0.25">
      <c r="B120">
        <v>99</v>
      </c>
      <c r="C120" s="6">
        <f t="shared" si="33"/>
        <v>438308.52159591398</v>
      </c>
      <c r="D120" s="4">
        <f t="shared" si="39"/>
        <v>3495.1337023910164</v>
      </c>
      <c r="E120" s="6">
        <f t="shared" si="34"/>
        <v>441803.65529830498</v>
      </c>
      <c r="F120" s="4">
        <f t="shared" si="35"/>
        <v>21800.878906101399</v>
      </c>
      <c r="G120" s="6">
        <f t="shared" si="36"/>
        <v>420002.77639220358</v>
      </c>
      <c r="H120" s="6">
        <f t="shared" si="37"/>
        <v>18305.745203710383</v>
      </c>
      <c r="I120" s="6">
        <f t="shared" si="40"/>
        <v>578.19616065974481</v>
      </c>
      <c r="J120" s="6">
        <f t="shared" si="41"/>
        <v>252601353.27196535</v>
      </c>
      <c r="K120" s="6">
        <f t="shared" si="42"/>
        <v>2014278.6635217811</v>
      </c>
      <c r="L120" s="6">
        <f t="shared" si="43"/>
        <v>826951.09924371494</v>
      </c>
      <c r="M120" s="6">
        <f t="shared" si="44"/>
        <v>6594.2241932057159</v>
      </c>
      <c r="N120" s="6">
        <f t="shared" si="45"/>
        <v>2847823.9869587021</v>
      </c>
      <c r="O120" s="6">
        <f t="shared" si="46"/>
        <v>255449177.25892407</v>
      </c>
      <c r="P120" s="6">
        <f t="shared" si="47"/>
        <v>12605184.482515845</v>
      </c>
      <c r="Q120" s="6">
        <f t="shared" si="48"/>
        <v>242843992.77640823</v>
      </c>
      <c r="R120" s="6">
        <f t="shared" si="49"/>
        <v>9757360.4955571443</v>
      </c>
      <c r="S120" s="6">
        <f t="shared" si="50"/>
        <v>-21800.878906101399</v>
      </c>
      <c r="T120" s="6">
        <f t="shared" si="51"/>
        <v>-12605184.482515845</v>
      </c>
      <c r="U120" s="6"/>
      <c r="V120">
        <v>99</v>
      </c>
      <c r="W120" s="6">
        <f t="shared" si="59"/>
        <v>224426935.67020613</v>
      </c>
      <c r="X120" s="6">
        <f t="shared" si="60"/>
        <v>2530186.0122385137</v>
      </c>
      <c r="Y120" s="6">
        <f t="shared" si="61"/>
        <v>226957121.68244463</v>
      </c>
      <c r="Z120" s="6">
        <f t="shared" si="38"/>
        <v>11575665.239051715</v>
      </c>
      <c r="AA120" s="6">
        <f t="shared" si="62"/>
        <v>215381456.44339293</v>
      </c>
      <c r="AB120" s="6">
        <f t="shared" si="63"/>
        <v>9045479.2268132009</v>
      </c>
      <c r="AC120" s="6">
        <f t="shared" si="52"/>
        <v>-12605184.482515845</v>
      </c>
      <c r="AD120" s="6"/>
      <c r="AE120" s="6"/>
      <c r="AF120" s="6"/>
      <c r="AH120">
        <v>99</v>
      </c>
      <c r="AI120" s="6">
        <f t="shared" si="53"/>
        <v>260914.6709234828</v>
      </c>
      <c r="AJ120" s="4">
        <f t="shared" si="54"/>
        <v>2080.5702259050659</v>
      </c>
      <c r="AK120" s="6">
        <f t="shared" si="55"/>
        <v>262995.24114938785</v>
      </c>
      <c r="AL120" s="4">
        <f t="shared" si="56"/>
        <v>12977.546329505407</v>
      </c>
      <c r="AM120" s="6">
        <f t="shared" si="57"/>
        <v>250017.69481988245</v>
      </c>
      <c r="AN120" s="6">
        <f t="shared" si="58"/>
        <v>10896.97610360034</v>
      </c>
    </row>
    <row r="121" spans="2:40" x14ac:dyDescent="0.25">
      <c r="B121">
        <v>100</v>
      </c>
      <c r="C121" s="6">
        <f t="shared" si="33"/>
        <v>420002.77639220358</v>
      </c>
      <c r="D121" s="4">
        <f t="shared" si="39"/>
        <v>3349.1611194808979</v>
      </c>
      <c r="E121" s="6">
        <f t="shared" si="34"/>
        <v>423351.93751168449</v>
      </c>
      <c r="F121" s="4">
        <f t="shared" si="35"/>
        <v>21800.878906101399</v>
      </c>
      <c r="G121" s="6">
        <f t="shared" si="36"/>
        <v>401551.05860558309</v>
      </c>
      <c r="H121" s="6">
        <f t="shared" si="37"/>
        <v>18451.717786620502</v>
      </c>
      <c r="I121" s="6">
        <f t="shared" si="40"/>
        <v>580.08902443281124</v>
      </c>
      <c r="J121" s="6">
        <f t="shared" si="41"/>
        <v>242843992.77640823</v>
      </c>
      <c r="K121" s="6">
        <f t="shared" si="42"/>
        <v>1936472.1007147706</v>
      </c>
      <c r="L121" s="6">
        <f t="shared" si="43"/>
        <v>795008.04002015339</v>
      </c>
      <c r="M121" s="6">
        <f t="shared" si="44"/>
        <v>6339.5057532282472</v>
      </c>
      <c r="N121" s="6">
        <f t="shared" si="45"/>
        <v>2737819.6464881524</v>
      </c>
      <c r="O121" s="6">
        <f t="shared" si="46"/>
        <v>245581812.42289639</v>
      </c>
      <c r="P121" s="6">
        <f t="shared" si="47"/>
        <v>12646450.576418214</v>
      </c>
      <c r="Q121" s="6">
        <f t="shared" si="48"/>
        <v>232935361.84647816</v>
      </c>
      <c r="R121" s="6">
        <f t="shared" si="49"/>
        <v>9908630.9299300611</v>
      </c>
      <c r="S121" s="6">
        <f t="shared" si="50"/>
        <v>-21800.878906101399</v>
      </c>
      <c r="T121" s="6">
        <f t="shared" si="51"/>
        <v>-12646450.576418214</v>
      </c>
      <c r="U121" s="6"/>
      <c r="V121">
        <v>100</v>
      </c>
      <c r="W121" s="6">
        <f t="shared" si="59"/>
        <v>215381456.44339293</v>
      </c>
      <c r="X121" s="6">
        <f t="shared" si="60"/>
        <v>2428207.4108494683</v>
      </c>
      <c r="Y121" s="6">
        <f t="shared" si="61"/>
        <v>217809663.85424241</v>
      </c>
      <c r="Z121" s="6">
        <f t="shared" si="38"/>
        <v>11575665.239051715</v>
      </c>
      <c r="AA121" s="6">
        <f t="shared" si="62"/>
        <v>206233998.61519068</v>
      </c>
      <c r="AB121" s="6">
        <f t="shared" si="63"/>
        <v>9147457.8282022458</v>
      </c>
      <c r="AC121" s="6">
        <f t="shared" si="52"/>
        <v>-12646450.576418214</v>
      </c>
      <c r="AD121" s="6"/>
      <c r="AE121" s="6"/>
      <c r="AF121" s="6"/>
      <c r="AH121">
        <v>100</v>
      </c>
      <c r="AI121" s="6">
        <f t="shared" si="53"/>
        <v>250017.69481988245</v>
      </c>
      <c r="AJ121" s="4">
        <f t="shared" si="54"/>
        <v>1993.6762082045479</v>
      </c>
      <c r="AK121" s="6">
        <f t="shared" si="55"/>
        <v>252011.37102808701</v>
      </c>
      <c r="AL121" s="4">
        <f t="shared" si="56"/>
        <v>12977.546329505407</v>
      </c>
      <c r="AM121" s="6">
        <f t="shared" si="57"/>
        <v>239033.82469858159</v>
      </c>
      <c r="AN121" s="6">
        <f t="shared" si="58"/>
        <v>10983.870121300859</v>
      </c>
    </row>
    <row r="122" spans="2:40" x14ac:dyDescent="0.25">
      <c r="B122">
        <v>101</v>
      </c>
      <c r="C122" s="6">
        <f t="shared" si="33"/>
        <v>401551.05860558309</v>
      </c>
      <c r="D122" s="4">
        <f t="shared" si="39"/>
        <v>3202.024530695885</v>
      </c>
      <c r="E122" s="6">
        <f t="shared" si="34"/>
        <v>404753.08313627896</v>
      </c>
      <c r="F122" s="4">
        <f t="shared" si="35"/>
        <v>21800.878906101399</v>
      </c>
      <c r="G122" s="6">
        <f t="shared" si="36"/>
        <v>382952.20423017757</v>
      </c>
      <c r="H122" s="6">
        <f t="shared" si="37"/>
        <v>18598.854375405514</v>
      </c>
      <c r="I122" s="6">
        <f t="shared" si="40"/>
        <v>581.98808494931393</v>
      </c>
      <c r="J122" s="6">
        <f t="shared" si="41"/>
        <v>232935361.84647816</v>
      </c>
      <c r="K122" s="6">
        <f t="shared" si="42"/>
        <v>1857459.2862213289</v>
      </c>
      <c r="L122" s="6">
        <f t="shared" si="43"/>
        <v>762569.76075771474</v>
      </c>
      <c r="M122" s="6">
        <f t="shared" si="44"/>
        <v>6080.8383591175643</v>
      </c>
      <c r="N122" s="6">
        <f t="shared" si="45"/>
        <v>2626109.8853381611</v>
      </c>
      <c r="O122" s="6">
        <f t="shared" si="46"/>
        <v>235561471.73181632</v>
      </c>
      <c r="P122" s="6">
        <f t="shared" si="47"/>
        <v>12687851.764773848</v>
      </c>
      <c r="Q122" s="6">
        <f t="shared" si="48"/>
        <v>222873619.96704248</v>
      </c>
      <c r="R122" s="6">
        <f t="shared" si="49"/>
        <v>10061741.879435686</v>
      </c>
      <c r="S122" s="6">
        <f t="shared" si="50"/>
        <v>-21800.878906101399</v>
      </c>
      <c r="T122" s="6">
        <f t="shared" si="51"/>
        <v>-12687851.764773848</v>
      </c>
      <c r="U122" s="6"/>
      <c r="V122">
        <v>101</v>
      </c>
      <c r="W122" s="6">
        <f t="shared" si="59"/>
        <v>206233998.61519068</v>
      </c>
      <c r="X122" s="6">
        <f t="shared" si="60"/>
        <v>2325079.1041899235</v>
      </c>
      <c r="Y122" s="6">
        <f t="shared" si="61"/>
        <v>208559077.71938062</v>
      </c>
      <c r="Z122" s="6">
        <f t="shared" si="38"/>
        <v>11575665.239051715</v>
      </c>
      <c r="AA122" s="6">
        <f t="shared" si="62"/>
        <v>196983412.48032892</v>
      </c>
      <c r="AB122" s="6">
        <f t="shared" si="63"/>
        <v>9250586.1348617915</v>
      </c>
      <c r="AC122" s="6">
        <f t="shared" si="52"/>
        <v>-12687851.764773848</v>
      </c>
      <c r="AD122" s="6"/>
      <c r="AE122" s="6"/>
      <c r="AF122" s="6"/>
      <c r="AH122">
        <v>101</v>
      </c>
      <c r="AI122" s="6">
        <f t="shared" si="53"/>
        <v>239033.82469858159</v>
      </c>
      <c r="AJ122" s="4">
        <f t="shared" si="54"/>
        <v>1906.0892854044546</v>
      </c>
      <c r="AK122" s="6">
        <f t="shared" si="55"/>
        <v>240939.91398398604</v>
      </c>
      <c r="AL122" s="4">
        <f t="shared" si="56"/>
        <v>12977.546329505407</v>
      </c>
      <c r="AM122" s="6">
        <f t="shared" si="57"/>
        <v>227962.36765448062</v>
      </c>
      <c r="AN122" s="6">
        <f t="shared" si="58"/>
        <v>11071.457044100953</v>
      </c>
    </row>
    <row r="123" spans="2:40" x14ac:dyDescent="0.25">
      <c r="B123">
        <v>102</v>
      </c>
      <c r="C123" s="6">
        <f t="shared" ref="C123:C141" si="64">+G122</f>
        <v>382952.20423017757</v>
      </c>
      <c r="D123" s="4">
        <f t="shared" si="39"/>
        <v>3053.7146540896701</v>
      </c>
      <c r="E123" s="6">
        <f t="shared" ref="E123:E141" si="65">+C123+D123</f>
        <v>386005.91888426722</v>
      </c>
      <c r="F123" s="4">
        <f t="shared" ref="F123:F141" si="66">+$F$15</f>
        <v>21800.878906101399</v>
      </c>
      <c r="G123" s="6">
        <f t="shared" ref="G123:G141" si="67">+E123-F123</f>
        <v>364205.03997816582</v>
      </c>
      <c r="H123" s="6">
        <f t="shared" ref="H123:H141" si="68">+F123-D123</f>
        <v>18747.164252011731</v>
      </c>
      <c r="I123" s="6">
        <f t="shared" si="40"/>
        <v>583.89336249577821</v>
      </c>
      <c r="J123" s="6">
        <f t="shared" si="41"/>
        <v>222873619.96704248</v>
      </c>
      <c r="K123" s="6">
        <f t="shared" si="42"/>
        <v>1777225.5435153267</v>
      </c>
      <c r="L123" s="6">
        <f t="shared" si="43"/>
        <v>729630.2360887893</v>
      </c>
      <c r="M123" s="6">
        <f t="shared" si="44"/>
        <v>5818.1739637462133</v>
      </c>
      <c r="N123" s="6">
        <f t="shared" si="45"/>
        <v>2512673.9535678625</v>
      </c>
      <c r="O123" s="6">
        <f t="shared" si="46"/>
        <v>225386293.92061034</v>
      </c>
      <c r="P123" s="6">
        <f t="shared" si="47"/>
        <v>12729388.489846829</v>
      </c>
      <c r="Q123" s="6">
        <f t="shared" si="48"/>
        <v>212656905.43076351</v>
      </c>
      <c r="R123" s="6">
        <f t="shared" si="49"/>
        <v>10216714.536278967</v>
      </c>
      <c r="S123" s="6">
        <f t="shared" si="50"/>
        <v>-21800.878906101399</v>
      </c>
      <c r="T123" s="6">
        <f t="shared" si="51"/>
        <v>-12729388.489846829</v>
      </c>
      <c r="U123" s="6"/>
      <c r="V123">
        <v>102</v>
      </c>
      <c r="W123" s="6">
        <f t="shared" si="59"/>
        <v>196983412.48032892</v>
      </c>
      <c r="X123" s="6">
        <f t="shared" si="60"/>
        <v>2220788.130499362</v>
      </c>
      <c r="Y123" s="6">
        <f t="shared" si="61"/>
        <v>199204200.61082828</v>
      </c>
      <c r="Z123" s="6">
        <f t="shared" ref="Z123:Z141" si="69">+$Z$13</f>
        <v>11575665.239051715</v>
      </c>
      <c r="AA123" s="6">
        <f t="shared" si="62"/>
        <v>187628535.37177658</v>
      </c>
      <c r="AB123" s="6">
        <f t="shared" si="63"/>
        <v>9354877.1085523516</v>
      </c>
      <c r="AC123" s="6">
        <f t="shared" si="52"/>
        <v>-12729388.489846829</v>
      </c>
      <c r="AD123" s="6"/>
      <c r="AE123" s="6"/>
      <c r="AF123" s="6"/>
      <c r="AH123">
        <v>102</v>
      </c>
      <c r="AI123" s="6">
        <f t="shared" si="53"/>
        <v>227962.36765448062</v>
      </c>
      <c r="AJ123" s="4">
        <f t="shared" si="54"/>
        <v>1817.8039321822177</v>
      </c>
      <c r="AK123" s="6">
        <f t="shared" si="55"/>
        <v>229780.17158666285</v>
      </c>
      <c r="AL123" s="4">
        <f t="shared" si="56"/>
        <v>12977.546329505407</v>
      </c>
      <c r="AM123" s="6">
        <f t="shared" si="57"/>
        <v>216802.62525715743</v>
      </c>
      <c r="AN123" s="6">
        <f t="shared" si="58"/>
        <v>11159.742397323189</v>
      </c>
    </row>
    <row r="124" spans="2:40" x14ac:dyDescent="0.25">
      <c r="B124">
        <v>103</v>
      </c>
      <c r="C124" s="6">
        <f t="shared" si="64"/>
        <v>364205.03997816582</v>
      </c>
      <c r="D124" s="4">
        <f t="shared" si="39"/>
        <v>2904.2221337004039</v>
      </c>
      <c r="E124" s="6">
        <f t="shared" si="65"/>
        <v>367109.26211186621</v>
      </c>
      <c r="F124" s="4">
        <f t="shared" si="66"/>
        <v>21800.878906101399</v>
      </c>
      <c r="G124" s="6">
        <f t="shared" si="67"/>
        <v>345308.38320576481</v>
      </c>
      <c r="H124" s="6">
        <f t="shared" si="68"/>
        <v>18896.656772400995</v>
      </c>
      <c r="I124" s="6">
        <f t="shared" si="40"/>
        <v>585.80487742514254</v>
      </c>
      <c r="J124" s="6">
        <f t="shared" si="41"/>
        <v>212656905.43076351</v>
      </c>
      <c r="K124" s="6">
        <f t="shared" si="42"/>
        <v>1695756.0270810158</v>
      </c>
      <c r="L124" s="6">
        <f t="shared" si="43"/>
        <v>696183.3712680029</v>
      </c>
      <c r="M124" s="6">
        <f t="shared" si="44"/>
        <v>5551.4639667587007</v>
      </c>
      <c r="N124" s="6">
        <f t="shared" si="45"/>
        <v>2397490.8623157772</v>
      </c>
      <c r="O124" s="6">
        <f t="shared" si="46"/>
        <v>215054396.29307929</v>
      </c>
      <c r="P124" s="6">
        <f t="shared" si="47"/>
        <v>12771061.195349107</v>
      </c>
      <c r="Q124" s="6">
        <f t="shared" si="48"/>
        <v>202283335.09773019</v>
      </c>
      <c r="R124" s="6">
        <f t="shared" si="49"/>
        <v>10373570.333033329</v>
      </c>
      <c r="S124" s="6">
        <f t="shared" si="50"/>
        <v>-21800.878906101399</v>
      </c>
      <c r="T124" s="6">
        <f t="shared" si="51"/>
        <v>-12771061.195349107</v>
      </c>
      <c r="U124" s="6"/>
      <c r="V124">
        <v>103</v>
      </c>
      <c r="W124" s="6">
        <f t="shared" si="59"/>
        <v>187628535.37177658</v>
      </c>
      <c r="X124" s="6">
        <f t="shared" si="60"/>
        <v>2115321.3818865679</v>
      </c>
      <c r="Y124" s="6">
        <f t="shared" si="61"/>
        <v>189743856.75366315</v>
      </c>
      <c r="Z124" s="6">
        <f t="shared" si="69"/>
        <v>11575665.239051715</v>
      </c>
      <c r="AA124" s="6">
        <f t="shared" si="62"/>
        <v>178168191.51461142</v>
      </c>
      <c r="AB124" s="6">
        <f t="shared" si="63"/>
        <v>9460343.8571651466</v>
      </c>
      <c r="AC124" s="6">
        <f t="shared" si="52"/>
        <v>-12771061.195349107</v>
      </c>
      <c r="AD124" s="6"/>
      <c r="AE124" s="6"/>
      <c r="AF124" s="6"/>
      <c r="AH124">
        <v>103</v>
      </c>
      <c r="AI124" s="6">
        <f t="shared" si="53"/>
        <v>216802.62525715743</v>
      </c>
      <c r="AJ124" s="4">
        <f t="shared" si="54"/>
        <v>1728.8145791555714</v>
      </c>
      <c r="AK124" s="6">
        <f t="shared" si="55"/>
        <v>218531.43983631299</v>
      </c>
      <c r="AL124" s="4">
        <f t="shared" si="56"/>
        <v>12977.546329505407</v>
      </c>
      <c r="AM124" s="6">
        <f t="shared" si="57"/>
        <v>205553.89350680757</v>
      </c>
      <c r="AN124" s="6">
        <f t="shared" si="58"/>
        <v>11248.731750349836</v>
      </c>
    </row>
    <row r="125" spans="2:40" x14ac:dyDescent="0.25">
      <c r="B125">
        <v>104</v>
      </c>
      <c r="C125" s="6">
        <f t="shared" si="64"/>
        <v>345308.38320576481</v>
      </c>
      <c r="D125" s="4">
        <f t="shared" si="39"/>
        <v>2753.5375389604828</v>
      </c>
      <c r="E125" s="6">
        <f t="shared" si="65"/>
        <v>348061.92074472527</v>
      </c>
      <c r="F125" s="4">
        <f t="shared" si="66"/>
        <v>21800.878906101399</v>
      </c>
      <c r="G125" s="6">
        <f t="shared" si="67"/>
        <v>326261.04183862387</v>
      </c>
      <c r="H125" s="6">
        <f t="shared" si="68"/>
        <v>19047.341367140918</v>
      </c>
      <c r="I125" s="6">
        <f t="shared" si="40"/>
        <v>587.72265015697542</v>
      </c>
      <c r="J125" s="6">
        <f t="shared" si="41"/>
        <v>202283335.09773019</v>
      </c>
      <c r="K125" s="6">
        <f t="shared" si="42"/>
        <v>1613035.720496298</v>
      </c>
      <c r="L125" s="6">
        <f t="shared" si="43"/>
        <v>662223.00138531323</v>
      </c>
      <c r="M125" s="6">
        <f t="shared" si="44"/>
        <v>5280.6592082966199</v>
      </c>
      <c r="N125" s="6">
        <f t="shared" si="45"/>
        <v>2280539.3810899081</v>
      </c>
      <c r="O125" s="6">
        <f t="shared" si="46"/>
        <v>204563874.47882009</v>
      </c>
      <c r="P125" s="6">
        <f t="shared" si="47"/>
        <v>12812870.326445218</v>
      </c>
      <c r="Q125" s="6">
        <f t="shared" si="48"/>
        <v>191751004.15237486</v>
      </c>
      <c r="R125" s="6">
        <f t="shared" si="49"/>
        <v>10532330.945355311</v>
      </c>
      <c r="S125" s="6">
        <f t="shared" si="50"/>
        <v>-21800.878906101399</v>
      </c>
      <c r="T125" s="6">
        <f t="shared" si="51"/>
        <v>-12812870.326445218</v>
      </c>
      <c r="U125" s="6"/>
      <c r="V125">
        <v>104</v>
      </c>
      <c r="W125" s="6">
        <f t="shared" si="59"/>
        <v>178168191.51461142</v>
      </c>
      <c r="X125" s="6">
        <f t="shared" si="60"/>
        <v>2008665.6026821488</v>
      </c>
      <c r="Y125" s="6">
        <f t="shared" si="61"/>
        <v>180176857.11729357</v>
      </c>
      <c r="Z125" s="6">
        <f t="shared" si="69"/>
        <v>11575665.239051715</v>
      </c>
      <c r="AA125" s="6">
        <f t="shared" si="62"/>
        <v>168601191.87824184</v>
      </c>
      <c r="AB125" s="6">
        <f t="shared" si="63"/>
        <v>9566999.6363695655</v>
      </c>
      <c r="AC125" s="6">
        <f t="shared" si="52"/>
        <v>-12812870.326445218</v>
      </c>
      <c r="AD125" s="6"/>
      <c r="AE125" s="6"/>
      <c r="AF125" s="6"/>
      <c r="AH125">
        <v>104</v>
      </c>
      <c r="AI125" s="6">
        <f t="shared" si="53"/>
        <v>205553.89350680757</v>
      </c>
      <c r="AJ125" s="4">
        <f t="shared" si="54"/>
        <v>1639.1156125312132</v>
      </c>
      <c r="AK125" s="6">
        <f t="shared" si="55"/>
        <v>207193.00911933879</v>
      </c>
      <c r="AL125" s="4">
        <f t="shared" si="56"/>
        <v>12977.546329505407</v>
      </c>
      <c r="AM125" s="6">
        <f t="shared" si="57"/>
        <v>194215.46278983337</v>
      </c>
      <c r="AN125" s="6">
        <f t="shared" si="58"/>
        <v>11338.430716974193</v>
      </c>
    </row>
    <row r="126" spans="2:40" x14ac:dyDescent="0.25">
      <c r="B126">
        <v>105</v>
      </c>
      <c r="C126" s="6">
        <f t="shared" si="64"/>
        <v>326261.04183862387</v>
      </c>
      <c r="D126" s="4">
        <f t="shared" si="39"/>
        <v>2601.6513641016331</v>
      </c>
      <c r="E126" s="6">
        <f t="shared" si="65"/>
        <v>328862.6932027255</v>
      </c>
      <c r="F126" s="4">
        <f t="shared" si="66"/>
        <v>21800.878906101399</v>
      </c>
      <c r="G126" s="6">
        <f t="shared" si="67"/>
        <v>307061.8142966241</v>
      </c>
      <c r="H126" s="6">
        <f t="shared" si="68"/>
        <v>19199.227541999768</v>
      </c>
      <c r="I126" s="6">
        <f t="shared" si="40"/>
        <v>589.64670117769367</v>
      </c>
      <c r="J126" s="6">
        <f t="shared" si="41"/>
        <v>191751004.15237486</v>
      </c>
      <c r="K126" s="6">
        <f t="shared" si="42"/>
        <v>1529049.4344943459</v>
      </c>
      <c r="L126" s="6">
        <f t="shared" si="43"/>
        <v>627742.89057021879</v>
      </c>
      <c r="M126" s="6">
        <f t="shared" si="44"/>
        <v>5005.7099626528934</v>
      </c>
      <c r="N126" s="6">
        <f t="shared" si="45"/>
        <v>2161798.0350272176</v>
      </c>
      <c r="O126" s="6">
        <f t="shared" si="46"/>
        <v>193912802.18740207</v>
      </c>
      <c r="P126" s="6">
        <f t="shared" si="47"/>
        <v>12854816.329757057</v>
      </c>
      <c r="Q126" s="6">
        <f t="shared" si="48"/>
        <v>181057985.857645</v>
      </c>
      <c r="R126" s="6">
        <f t="shared" si="49"/>
        <v>10693018.29472984</v>
      </c>
      <c r="S126" s="6">
        <f t="shared" si="50"/>
        <v>-21800.878906101399</v>
      </c>
      <c r="T126" s="6">
        <f t="shared" si="51"/>
        <v>-12854816.329757057</v>
      </c>
      <c r="U126" s="6"/>
      <c r="V126">
        <v>105</v>
      </c>
      <c r="W126" s="6">
        <f t="shared" si="59"/>
        <v>168601191.87824184</v>
      </c>
      <c r="X126" s="6">
        <f t="shared" si="60"/>
        <v>1900807.38777249</v>
      </c>
      <c r="Y126" s="6">
        <f t="shared" si="61"/>
        <v>170501999.26601434</v>
      </c>
      <c r="Z126" s="6">
        <f t="shared" si="69"/>
        <v>11575665.239051715</v>
      </c>
      <c r="AA126" s="6">
        <f t="shared" si="62"/>
        <v>158926334.02696264</v>
      </c>
      <c r="AB126" s="6">
        <f t="shared" si="63"/>
        <v>9674857.8512792252</v>
      </c>
      <c r="AC126" s="6">
        <f t="shared" si="52"/>
        <v>-12854816.329757057</v>
      </c>
      <c r="AD126" s="6"/>
      <c r="AE126" s="6"/>
      <c r="AF126" s="6"/>
      <c r="AH126">
        <v>105</v>
      </c>
      <c r="AI126" s="6">
        <f t="shared" si="53"/>
        <v>194215.46278983337</v>
      </c>
      <c r="AJ126" s="4">
        <f t="shared" si="54"/>
        <v>1548.701373750665</v>
      </c>
      <c r="AK126" s="6">
        <f t="shared" si="55"/>
        <v>195764.16416358404</v>
      </c>
      <c r="AL126" s="4">
        <f t="shared" si="56"/>
        <v>12977.546329505407</v>
      </c>
      <c r="AM126" s="6">
        <f t="shared" si="57"/>
        <v>182786.61783407861</v>
      </c>
      <c r="AN126" s="6">
        <f t="shared" si="58"/>
        <v>11428.844955754743</v>
      </c>
    </row>
    <row r="127" spans="2:40" x14ac:dyDescent="0.25">
      <c r="B127">
        <v>106</v>
      </c>
      <c r="C127" s="6">
        <f t="shared" si="64"/>
        <v>307061.8142966241</v>
      </c>
      <c r="D127" s="4">
        <f t="shared" si="39"/>
        <v>2448.5540275552503</v>
      </c>
      <c r="E127" s="6">
        <f t="shared" si="65"/>
        <v>309510.36832417938</v>
      </c>
      <c r="F127" s="4">
        <f t="shared" si="66"/>
        <v>21800.878906101399</v>
      </c>
      <c r="G127" s="6">
        <f t="shared" si="67"/>
        <v>287709.48941807798</v>
      </c>
      <c r="H127" s="6">
        <f t="shared" si="68"/>
        <v>19352.324878546147</v>
      </c>
      <c r="I127" s="6">
        <f t="shared" si="40"/>
        <v>591.5770510407815</v>
      </c>
      <c r="J127" s="6">
        <f t="shared" si="41"/>
        <v>181057985.857645</v>
      </c>
      <c r="K127" s="6">
        <f t="shared" si="42"/>
        <v>1443781.8050033331</v>
      </c>
      <c r="L127" s="6">
        <f t="shared" si="43"/>
        <v>592736.73118698085</v>
      </c>
      <c r="M127" s="6">
        <f t="shared" si="44"/>
        <v>4726.5659318543676</v>
      </c>
      <c r="N127" s="6">
        <f t="shared" si="45"/>
        <v>2041245.1021221683</v>
      </c>
      <c r="O127" s="6">
        <f t="shared" si="46"/>
        <v>183099230.95976716</v>
      </c>
      <c r="P127" s="6">
        <f t="shared" si="47"/>
        <v>12896899.653368644</v>
      </c>
      <c r="Q127" s="6">
        <f t="shared" si="48"/>
        <v>170202331.30639851</v>
      </c>
      <c r="R127" s="6">
        <f t="shared" si="49"/>
        <v>10855654.551246475</v>
      </c>
      <c r="S127" s="6">
        <f t="shared" si="50"/>
        <v>-21800.878906101399</v>
      </c>
      <c r="T127" s="6">
        <f t="shared" si="51"/>
        <v>-12896899.653368644</v>
      </c>
      <c r="U127" s="6"/>
      <c r="V127">
        <v>106</v>
      </c>
      <c r="W127" s="6">
        <f t="shared" si="59"/>
        <v>158926334.02696264</v>
      </c>
      <c r="X127" s="6">
        <f t="shared" si="60"/>
        <v>1791733.1809149201</v>
      </c>
      <c r="Y127" s="6">
        <f t="shared" si="61"/>
        <v>160718067.20787755</v>
      </c>
      <c r="Z127" s="6">
        <f t="shared" si="69"/>
        <v>11575665.239051715</v>
      </c>
      <c r="AA127" s="6">
        <f t="shared" si="62"/>
        <v>149142401.96882582</v>
      </c>
      <c r="AB127" s="6">
        <f t="shared" si="63"/>
        <v>9783932.0581367947</v>
      </c>
      <c r="AC127" s="6">
        <f t="shared" si="52"/>
        <v>-12896899.653368644</v>
      </c>
      <c r="AD127" s="6"/>
      <c r="AE127" s="6"/>
      <c r="AF127" s="6"/>
      <c r="AH127">
        <v>106</v>
      </c>
      <c r="AI127" s="6">
        <f t="shared" si="53"/>
        <v>182786.61783407861</v>
      </c>
      <c r="AJ127" s="4">
        <f t="shared" si="54"/>
        <v>1457.566159133308</v>
      </c>
      <c r="AK127" s="6">
        <f t="shared" si="55"/>
        <v>184244.18399321192</v>
      </c>
      <c r="AL127" s="4">
        <f t="shared" si="56"/>
        <v>12977.546329505407</v>
      </c>
      <c r="AM127" s="6">
        <f t="shared" si="57"/>
        <v>171266.6376637065</v>
      </c>
      <c r="AN127" s="6">
        <f t="shared" si="58"/>
        <v>11519.980170372099</v>
      </c>
    </row>
    <row r="128" spans="2:40" x14ac:dyDescent="0.25">
      <c r="B128">
        <v>107</v>
      </c>
      <c r="C128" s="6">
        <f t="shared" si="64"/>
        <v>287709.48941807798</v>
      </c>
      <c r="D128" s="4">
        <f t="shared" si="39"/>
        <v>2294.2358713479553</v>
      </c>
      <c r="E128" s="6">
        <f t="shared" si="65"/>
        <v>290003.72528942593</v>
      </c>
      <c r="F128" s="4">
        <f t="shared" si="66"/>
        <v>21800.878906101399</v>
      </c>
      <c r="G128" s="6">
        <f t="shared" si="67"/>
        <v>268202.84638332453</v>
      </c>
      <c r="H128" s="6">
        <f t="shared" si="68"/>
        <v>19506.643034753444</v>
      </c>
      <c r="I128" s="6">
        <f t="shared" si="40"/>
        <v>593.51372036700957</v>
      </c>
      <c r="J128" s="6">
        <f t="shared" si="41"/>
        <v>170202331.30639851</v>
      </c>
      <c r="K128" s="6">
        <f t="shared" si="42"/>
        <v>1357217.2911640252</v>
      </c>
      <c r="L128" s="6">
        <f t="shared" si="43"/>
        <v>557198.14302075654</v>
      </c>
      <c r="M128" s="6">
        <f t="shared" si="44"/>
        <v>4443.1762391719167</v>
      </c>
      <c r="N128" s="6">
        <f t="shared" si="45"/>
        <v>1918858.6104239537</v>
      </c>
      <c r="O128" s="6">
        <f t="shared" si="46"/>
        <v>172121189.91682246</v>
      </c>
      <c r="P128" s="6">
        <f t="shared" si="47"/>
        <v>12939120.746830903</v>
      </c>
      <c r="Q128" s="6">
        <f t="shared" si="48"/>
        <v>159182069.16999155</v>
      </c>
      <c r="R128" s="6">
        <f t="shared" si="49"/>
        <v>11020262.136406949</v>
      </c>
      <c r="S128" s="6">
        <f t="shared" si="50"/>
        <v>-21800.878906101399</v>
      </c>
      <c r="T128" s="6">
        <f t="shared" si="51"/>
        <v>-12939120.746830903</v>
      </c>
      <c r="U128" s="6"/>
      <c r="V128">
        <v>107</v>
      </c>
      <c r="W128" s="6">
        <f t="shared" si="59"/>
        <v>149142401.96882582</v>
      </c>
      <c r="X128" s="6">
        <f t="shared" si="60"/>
        <v>1681429.2730338834</v>
      </c>
      <c r="Y128" s="6">
        <f t="shared" si="61"/>
        <v>150823831.2418597</v>
      </c>
      <c r="Z128" s="6">
        <f t="shared" si="69"/>
        <v>11575665.239051715</v>
      </c>
      <c r="AA128" s="6">
        <f t="shared" si="62"/>
        <v>139248166.00280797</v>
      </c>
      <c r="AB128" s="6">
        <f t="shared" si="63"/>
        <v>9894235.9660178311</v>
      </c>
      <c r="AC128" s="6">
        <f t="shared" si="52"/>
        <v>-12939120.746830903</v>
      </c>
      <c r="AD128" s="6"/>
      <c r="AE128" s="6"/>
      <c r="AF128" s="6"/>
      <c r="AH128">
        <v>107</v>
      </c>
      <c r="AI128" s="6">
        <f t="shared" si="53"/>
        <v>171266.6376637065</v>
      </c>
      <c r="AJ128" s="4">
        <f t="shared" si="54"/>
        <v>1365.7042195165741</v>
      </c>
      <c r="AK128" s="6">
        <f t="shared" si="55"/>
        <v>172632.34188322307</v>
      </c>
      <c r="AL128" s="4">
        <f t="shared" si="56"/>
        <v>12977.546329505407</v>
      </c>
      <c r="AM128" s="6">
        <f t="shared" si="57"/>
        <v>159654.79555371765</v>
      </c>
      <c r="AN128" s="6">
        <f t="shared" si="58"/>
        <v>11611.842109988833</v>
      </c>
    </row>
    <row r="129" spans="2:40" x14ac:dyDescent="0.25">
      <c r="B129">
        <v>108</v>
      </c>
      <c r="C129" s="6">
        <f t="shared" si="64"/>
        <v>268202.84638332453</v>
      </c>
      <c r="D129" s="4">
        <f t="shared" si="39"/>
        <v>2138.687160492334</v>
      </c>
      <c r="E129" s="6">
        <f t="shared" si="65"/>
        <v>270341.53354381688</v>
      </c>
      <c r="F129" s="4">
        <f t="shared" si="66"/>
        <v>21800.878906101399</v>
      </c>
      <c r="G129" s="6">
        <f t="shared" si="67"/>
        <v>248540.65463771549</v>
      </c>
      <c r="H129" s="6">
        <f t="shared" si="68"/>
        <v>19662.191745609067</v>
      </c>
      <c r="I129" s="6">
        <f t="shared" si="40"/>
        <v>595.45672984465591</v>
      </c>
      <c r="J129" s="6">
        <f t="shared" si="41"/>
        <v>159182069.16999155</v>
      </c>
      <c r="K129" s="6">
        <f t="shared" si="42"/>
        <v>1269340.1733249852</v>
      </c>
      <c r="L129" s="6">
        <f t="shared" si="43"/>
        <v>521120.67245454068</v>
      </c>
      <c r="M129" s="6">
        <f t="shared" si="44"/>
        <v>4155.4894225572698</v>
      </c>
      <c r="N129" s="6">
        <f t="shared" si="45"/>
        <v>1794616.335202083</v>
      </c>
      <c r="O129" s="6">
        <f t="shared" si="46"/>
        <v>160976685.50519365</v>
      </c>
      <c r="P129" s="6">
        <f t="shared" si="47"/>
        <v>12981480.061166478</v>
      </c>
      <c r="Q129" s="6">
        <f t="shared" si="48"/>
        <v>147995205.44402719</v>
      </c>
      <c r="R129" s="6">
        <f t="shared" si="49"/>
        <v>11186863.725964395</v>
      </c>
      <c r="S129" s="6">
        <f t="shared" si="50"/>
        <v>-21800.878906101399</v>
      </c>
      <c r="T129" s="6">
        <f t="shared" si="51"/>
        <v>-12981480.061166478</v>
      </c>
      <c r="U129" s="6"/>
      <c r="V129">
        <v>108</v>
      </c>
      <c r="W129" s="6">
        <f t="shared" si="59"/>
        <v>139248166.00280797</v>
      </c>
      <c r="X129" s="6">
        <f t="shared" si="60"/>
        <v>1569881.8004979074</v>
      </c>
      <c r="Y129" s="6">
        <f t="shared" si="61"/>
        <v>140818047.80330589</v>
      </c>
      <c r="Z129" s="6">
        <f t="shared" si="69"/>
        <v>11575665.239051715</v>
      </c>
      <c r="AA129" s="6">
        <f t="shared" si="62"/>
        <v>129242382.56425418</v>
      </c>
      <c r="AB129" s="6">
        <f t="shared" si="63"/>
        <v>10005783.438553806</v>
      </c>
      <c r="AC129" s="6">
        <f t="shared" si="52"/>
        <v>-12981480.061166478</v>
      </c>
      <c r="AD129" s="6"/>
      <c r="AE129" s="6"/>
      <c r="AF129" s="6"/>
      <c r="AH129">
        <v>108</v>
      </c>
      <c r="AI129" s="6">
        <f t="shared" si="53"/>
        <v>159654.79555371765</v>
      </c>
      <c r="AJ129" s="4">
        <f t="shared" si="54"/>
        <v>1273.1097598932649</v>
      </c>
      <c r="AK129" s="6">
        <f t="shared" si="55"/>
        <v>160927.90531361091</v>
      </c>
      <c r="AL129" s="4">
        <f t="shared" si="56"/>
        <v>12977.546329505407</v>
      </c>
      <c r="AM129" s="6">
        <f t="shared" si="57"/>
        <v>147950.35898410552</v>
      </c>
      <c r="AN129" s="6">
        <f t="shared" si="58"/>
        <v>11704.436569612142</v>
      </c>
    </row>
    <row r="130" spans="2:40" x14ac:dyDescent="0.25">
      <c r="B130">
        <v>109</v>
      </c>
      <c r="C130" s="6">
        <f t="shared" si="64"/>
        <v>248540.65463771549</v>
      </c>
      <c r="D130" s="4">
        <f t="shared" si="39"/>
        <v>1981.898082372815</v>
      </c>
      <c r="E130" s="6">
        <f t="shared" si="65"/>
        <v>250522.55272008831</v>
      </c>
      <c r="F130" s="4">
        <f t="shared" si="66"/>
        <v>21800.878906101399</v>
      </c>
      <c r="G130" s="6">
        <f t="shared" si="67"/>
        <v>228721.67381398691</v>
      </c>
      <c r="H130" s="6">
        <f t="shared" si="68"/>
        <v>19818.980823728583</v>
      </c>
      <c r="I130" s="6">
        <f t="shared" si="40"/>
        <v>597.40610022972646</v>
      </c>
      <c r="J130" s="6">
        <f t="shared" si="41"/>
        <v>147995205.44402719</v>
      </c>
      <c r="K130" s="6">
        <f t="shared" si="42"/>
        <v>1180134.5510151356</v>
      </c>
      <c r="L130" s="6">
        <f t="shared" si="43"/>
        <v>484497.79163681314</v>
      </c>
      <c r="M130" s="6">
        <f t="shared" si="44"/>
        <v>3863.4534280057037</v>
      </c>
      <c r="N130" s="6">
        <f t="shared" si="45"/>
        <v>1668495.7960799546</v>
      </c>
      <c r="O130" s="6">
        <f t="shared" si="46"/>
        <v>149663701.24010715</v>
      </c>
      <c r="P130" s="6">
        <f t="shared" si="47"/>
        <v>13023978.048874542</v>
      </c>
      <c r="Q130" s="6">
        <f t="shared" si="48"/>
        <v>136639723.19123262</v>
      </c>
      <c r="R130" s="6">
        <f t="shared" si="49"/>
        <v>11355482.252794588</v>
      </c>
      <c r="S130" s="6">
        <f t="shared" si="50"/>
        <v>-21800.878906101399</v>
      </c>
      <c r="T130" s="6">
        <f t="shared" si="51"/>
        <v>-13023978.048874542</v>
      </c>
      <c r="U130" s="6"/>
      <c r="V130">
        <v>109</v>
      </c>
      <c r="W130" s="6">
        <f t="shared" si="59"/>
        <v>129242382.56425418</v>
      </c>
      <c r="X130" s="6">
        <f t="shared" si="60"/>
        <v>1457076.7433771393</v>
      </c>
      <c r="Y130" s="6">
        <f t="shared" si="61"/>
        <v>130699459.30763131</v>
      </c>
      <c r="Z130" s="6">
        <f t="shared" si="69"/>
        <v>11575665.239051715</v>
      </c>
      <c r="AA130" s="6">
        <f t="shared" si="62"/>
        <v>119123794.0685796</v>
      </c>
      <c r="AB130" s="6">
        <f t="shared" si="63"/>
        <v>10118588.495674575</v>
      </c>
      <c r="AC130" s="6">
        <f t="shared" si="52"/>
        <v>-13023978.048874542</v>
      </c>
      <c r="AD130" s="6"/>
      <c r="AE130" s="6"/>
      <c r="AF130" s="6"/>
      <c r="AH130">
        <v>109</v>
      </c>
      <c r="AI130" s="6">
        <f t="shared" si="53"/>
        <v>147950.35898410552</v>
      </c>
      <c r="AJ130" s="4">
        <f t="shared" si="54"/>
        <v>1179.7769390459812</v>
      </c>
      <c r="AK130" s="6">
        <f t="shared" si="55"/>
        <v>149130.13592315151</v>
      </c>
      <c r="AL130" s="4">
        <f t="shared" si="56"/>
        <v>12977.546329505407</v>
      </c>
      <c r="AM130" s="6">
        <f t="shared" si="57"/>
        <v>136152.58959364612</v>
      </c>
      <c r="AN130" s="6">
        <f t="shared" si="58"/>
        <v>11797.769390459425</v>
      </c>
    </row>
    <row r="131" spans="2:40" x14ac:dyDescent="0.25">
      <c r="B131">
        <v>110</v>
      </c>
      <c r="C131" s="6">
        <f t="shared" si="64"/>
        <v>228721.67381398691</v>
      </c>
      <c r="D131" s="4">
        <f t="shared" si="39"/>
        <v>1823.8587461266525</v>
      </c>
      <c r="E131" s="6">
        <f t="shared" si="65"/>
        <v>230545.53256011356</v>
      </c>
      <c r="F131" s="4">
        <f t="shared" si="66"/>
        <v>21800.878906101399</v>
      </c>
      <c r="G131" s="6">
        <f t="shared" si="67"/>
        <v>208744.65365401216</v>
      </c>
      <c r="H131" s="6">
        <f t="shared" si="68"/>
        <v>19977.020159974745</v>
      </c>
      <c r="I131" s="6">
        <f t="shared" si="40"/>
        <v>599.36185234617687</v>
      </c>
      <c r="J131" s="6">
        <f t="shared" si="41"/>
        <v>136639723.19123262</v>
      </c>
      <c r="K131" s="6">
        <f t="shared" si="42"/>
        <v>1089584.3408934274</v>
      </c>
      <c r="L131" s="6">
        <f t="shared" si="43"/>
        <v>447322.89763978584</v>
      </c>
      <c r="M131" s="6">
        <f t="shared" si="44"/>
        <v>3567.0156028437968</v>
      </c>
      <c r="N131" s="6">
        <f t="shared" si="45"/>
        <v>1540474.2541360571</v>
      </c>
      <c r="O131" s="6">
        <f t="shared" si="46"/>
        <v>138180197.44536868</v>
      </c>
      <c r="P131" s="6">
        <f t="shared" si="47"/>
        <v>13066615.16393563</v>
      </c>
      <c r="Q131" s="6">
        <f t="shared" si="48"/>
        <v>125113582.28143305</v>
      </c>
      <c r="R131" s="6">
        <f t="shared" si="49"/>
        <v>11526140.909799572</v>
      </c>
      <c r="S131" s="6">
        <f t="shared" si="50"/>
        <v>-21800.878906101399</v>
      </c>
      <c r="T131" s="6">
        <f t="shared" si="51"/>
        <v>-13066615.16393563</v>
      </c>
      <c r="U131" s="6"/>
      <c r="V131">
        <v>110</v>
      </c>
      <c r="W131" s="6">
        <f t="shared" si="59"/>
        <v>119123794.0685796</v>
      </c>
      <c r="X131" s="6">
        <f t="shared" si="60"/>
        <v>1342999.9236812396</v>
      </c>
      <c r="Y131" s="6">
        <f t="shared" si="61"/>
        <v>120466793.99226084</v>
      </c>
      <c r="Z131" s="6">
        <f t="shared" si="69"/>
        <v>11575665.239051715</v>
      </c>
      <c r="AA131" s="6">
        <f t="shared" si="62"/>
        <v>108891128.75320913</v>
      </c>
      <c r="AB131" s="6">
        <f t="shared" si="63"/>
        <v>10232665.315370474</v>
      </c>
      <c r="AC131" s="6">
        <f t="shared" si="52"/>
        <v>-13066615.16393563</v>
      </c>
      <c r="AD131" s="6"/>
      <c r="AE131" s="6"/>
      <c r="AF131" s="6"/>
      <c r="AH131">
        <v>110</v>
      </c>
      <c r="AI131" s="6">
        <f t="shared" si="53"/>
        <v>136152.58959364612</v>
      </c>
      <c r="AJ131" s="4">
        <f t="shared" si="54"/>
        <v>1085.6998691786355</v>
      </c>
      <c r="AK131" s="6">
        <f t="shared" si="55"/>
        <v>137238.28946282476</v>
      </c>
      <c r="AL131" s="4">
        <f t="shared" si="56"/>
        <v>12977.546329505407</v>
      </c>
      <c r="AM131" s="6">
        <f t="shared" si="57"/>
        <v>124260.74313331935</v>
      </c>
      <c r="AN131" s="6">
        <f t="shared" si="58"/>
        <v>11891.846460326771</v>
      </c>
    </row>
    <row r="132" spans="2:40" x14ac:dyDescent="0.25">
      <c r="B132">
        <v>111</v>
      </c>
      <c r="C132" s="6">
        <f t="shared" si="64"/>
        <v>208744.65365401216</v>
      </c>
      <c r="D132" s="4">
        <f t="shared" si="39"/>
        <v>1664.5591820199722</v>
      </c>
      <c r="E132" s="6">
        <f t="shared" si="65"/>
        <v>210409.21283603212</v>
      </c>
      <c r="F132" s="4">
        <f t="shared" si="66"/>
        <v>21800.878906101399</v>
      </c>
      <c r="G132" s="6">
        <f t="shared" si="67"/>
        <v>188608.33392993073</v>
      </c>
      <c r="H132" s="6">
        <f t="shared" si="68"/>
        <v>20136.319724081426</v>
      </c>
      <c r="I132" s="6">
        <f t="shared" si="40"/>
        <v>601.324007086135</v>
      </c>
      <c r="J132" s="6">
        <f t="shared" si="41"/>
        <v>125113582.28143305</v>
      </c>
      <c r="K132" s="6">
        <f t="shared" si="42"/>
        <v>997673.27467535296</v>
      </c>
      <c r="L132" s="6">
        <f t="shared" si="43"/>
        <v>409589.31160814461</v>
      </c>
      <c r="M132" s="6">
        <f t="shared" si="44"/>
        <v>3266.1226889413679</v>
      </c>
      <c r="N132" s="6">
        <f t="shared" si="45"/>
        <v>1410528.7089724389</v>
      </c>
      <c r="O132" s="6">
        <f t="shared" si="46"/>
        <v>126524110.99040549</v>
      </c>
      <c r="P132" s="6">
        <f t="shared" si="47"/>
        <v>13109391.861816488</v>
      </c>
      <c r="Q132" s="6">
        <f t="shared" si="48"/>
        <v>113414719.128589</v>
      </c>
      <c r="R132" s="6">
        <f t="shared" si="49"/>
        <v>11698863.152844049</v>
      </c>
      <c r="S132" s="6">
        <f t="shared" si="50"/>
        <v>-21800.878906101399</v>
      </c>
      <c r="T132" s="6">
        <f t="shared" si="51"/>
        <v>-13109391.861816488</v>
      </c>
      <c r="U132" s="6"/>
      <c r="V132">
        <v>111</v>
      </c>
      <c r="W132" s="6">
        <f t="shared" si="59"/>
        <v>108891128.75320913</v>
      </c>
      <c r="X132" s="6">
        <f t="shared" si="60"/>
        <v>1227637.0035774133</v>
      </c>
      <c r="Y132" s="6">
        <f t="shared" si="61"/>
        <v>110118765.75678654</v>
      </c>
      <c r="Z132" s="6">
        <f t="shared" si="69"/>
        <v>11575665.239051715</v>
      </c>
      <c r="AA132" s="6">
        <f t="shared" si="62"/>
        <v>98543100.517734826</v>
      </c>
      <c r="AB132" s="6">
        <f t="shared" si="63"/>
        <v>10348028.235474302</v>
      </c>
      <c r="AC132" s="6">
        <f t="shared" si="52"/>
        <v>-13109391.861816488</v>
      </c>
      <c r="AD132" s="6"/>
      <c r="AE132" s="6"/>
      <c r="AF132" s="6"/>
      <c r="AH132">
        <v>111</v>
      </c>
      <c r="AI132" s="6">
        <f t="shared" si="53"/>
        <v>124260.74313331935</v>
      </c>
      <c r="AJ132" s="4">
        <f t="shared" si="54"/>
        <v>990.87261554502766</v>
      </c>
      <c r="AK132" s="6">
        <f t="shared" si="55"/>
        <v>125251.61574886438</v>
      </c>
      <c r="AL132" s="4">
        <f t="shared" si="56"/>
        <v>12977.546329505407</v>
      </c>
      <c r="AM132" s="6">
        <f t="shared" si="57"/>
        <v>112274.06941935897</v>
      </c>
      <c r="AN132" s="6">
        <f t="shared" si="58"/>
        <v>11986.673713960379</v>
      </c>
    </row>
    <row r="133" spans="2:40" x14ac:dyDescent="0.25">
      <c r="B133">
        <v>112</v>
      </c>
      <c r="C133" s="6">
        <f t="shared" si="64"/>
        <v>188608.33392993073</v>
      </c>
      <c r="D133" s="4">
        <f t="shared" si="39"/>
        <v>1503.9893408188423</v>
      </c>
      <c r="E133" s="6">
        <f t="shared" si="65"/>
        <v>190112.32327074956</v>
      </c>
      <c r="F133" s="4">
        <f t="shared" si="66"/>
        <v>21800.878906101399</v>
      </c>
      <c r="G133" s="6">
        <f t="shared" si="67"/>
        <v>168311.44436464817</v>
      </c>
      <c r="H133" s="6">
        <f t="shared" si="68"/>
        <v>20296.889565282556</v>
      </c>
      <c r="I133" s="6">
        <f t="shared" si="40"/>
        <v>603.29258541012416</v>
      </c>
      <c r="J133" s="6">
        <f t="shared" si="41"/>
        <v>113414719.128589</v>
      </c>
      <c r="K133" s="6">
        <f t="shared" si="42"/>
        <v>904384.89703604672</v>
      </c>
      <c r="L133" s="6">
        <f t="shared" si="43"/>
        <v>371290.27789817803</v>
      </c>
      <c r="M133" s="6">
        <f t="shared" si="44"/>
        <v>2960.7208158467752</v>
      </c>
      <c r="N133" s="6">
        <f t="shared" si="45"/>
        <v>1278635.8957500716</v>
      </c>
      <c r="O133" s="6">
        <f t="shared" si="46"/>
        <v>114693355.02433908</v>
      </c>
      <c r="P133" s="6">
        <f t="shared" si="47"/>
        <v>13152308.599474953</v>
      </c>
      <c r="Q133" s="6">
        <f t="shared" si="48"/>
        <v>101541046.42486413</v>
      </c>
      <c r="R133" s="6">
        <f t="shared" si="49"/>
        <v>11873672.703724882</v>
      </c>
      <c r="S133" s="6">
        <f t="shared" si="50"/>
        <v>-21800.878906101399</v>
      </c>
      <c r="T133" s="6">
        <f t="shared" si="51"/>
        <v>-13152308.599474953</v>
      </c>
      <c r="U133" s="6"/>
      <c r="V133">
        <v>112</v>
      </c>
      <c r="W133" s="6">
        <f t="shared" si="59"/>
        <v>98543100.517734826</v>
      </c>
      <c r="X133" s="6">
        <f t="shared" si="60"/>
        <v>1110973.4835883458</v>
      </c>
      <c r="Y133" s="6">
        <f t="shared" si="61"/>
        <v>99654074.001323178</v>
      </c>
      <c r="Z133" s="6">
        <f t="shared" si="69"/>
        <v>11575665.239051715</v>
      </c>
      <c r="AA133" s="6">
        <f t="shared" si="62"/>
        <v>88078408.762271464</v>
      </c>
      <c r="AB133" s="6">
        <f t="shared" si="63"/>
        <v>10464691.755463369</v>
      </c>
      <c r="AC133" s="6">
        <f t="shared" si="52"/>
        <v>-13152308.599474953</v>
      </c>
      <c r="AD133" s="6"/>
      <c r="AE133" s="6"/>
      <c r="AF133" s="6"/>
      <c r="AH133">
        <v>112</v>
      </c>
      <c r="AI133" s="6">
        <f t="shared" si="53"/>
        <v>112274.06941935897</v>
      </c>
      <c r="AJ133" s="4">
        <f t="shared" si="54"/>
        <v>895.28919607445812</v>
      </c>
      <c r="AK133" s="6">
        <f t="shared" si="55"/>
        <v>113169.35861543343</v>
      </c>
      <c r="AL133" s="4">
        <f t="shared" si="56"/>
        <v>12977.546329505407</v>
      </c>
      <c r="AM133" s="6">
        <f t="shared" si="57"/>
        <v>100191.81228592803</v>
      </c>
      <c r="AN133" s="6">
        <f t="shared" si="58"/>
        <v>12082.257133430949</v>
      </c>
    </row>
    <row r="134" spans="2:40" x14ac:dyDescent="0.25">
      <c r="B134">
        <v>113</v>
      </c>
      <c r="C134" s="6">
        <f t="shared" si="64"/>
        <v>168311.44436464817</v>
      </c>
      <c r="D134" s="4">
        <f t="shared" si="39"/>
        <v>1342.1390931553276</v>
      </c>
      <c r="E134" s="6">
        <f t="shared" si="65"/>
        <v>169653.5834578035</v>
      </c>
      <c r="F134" s="4">
        <f t="shared" si="66"/>
        <v>21800.878906101399</v>
      </c>
      <c r="G134" s="6">
        <f t="shared" si="67"/>
        <v>147852.7045517021</v>
      </c>
      <c r="H134" s="6">
        <f t="shared" si="68"/>
        <v>20458.739812946071</v>
      </c>
      <c r="I134" s="6">
        <f t="shared" si="40"/>
        <v>605.26760834728691</v>
      </c>
      <c r="J134" s="6">
        <f t="shared" si="41"/>
        <v>101541046.42486413</v>
      </c>
      <c r="K134" s="6">
        <f t="shared" si="42"/>
        <v>809702.56348970311</v>
      </c>
      <c r="L134" s="6">
        <f t="shared" si="43"/>
        <v>332418.96320718457</v>
      </c>
      <c r="M134" s="6">
        <f t="shared" si="44"/>
        <v>2650.7554938446833</v>
      </c>
      <c r="N134" s="6">
        <f t="shared" si="45"/>
        <v>1144772.2821907322</v>
      </c>
      <c r="O134" s="6">
        <f t="shared" si="46"/>
        <v>102685818.70705485</v>
      </c>
      <c r="P134" s="6">
        <f t="shared" si="47"/>
        <v>13195365.835364811</v>
      </c>
      <c r="Q134" s="6">
        <f t="shared" si="48"/>
        <v>89490452.871690035</v>
      </c>
      <c r="R134" s="6">
        <f t="shared" si="49"/>
        <v>12050593.553174078</v>
      </c>
      <c r="S134" s="6">
        <f t="shared" si="50"/>
        <v>-21800.878906101399</v>
      </c>
      <c r="T134" s="6">
        <f t="shared" si="51"/>
        <v>-13195365.835364811</v>
      </c>
      <c r="U134" s="6"/>
      <c r="V134">
        <v>113</v>
      </c>
      <c r="W134" s="6">
        <f t="shared" si="59"/>
        <v>88078408.762271464</v>
      </c>
      <c r="X134" s="6">
        <f t="shared" si="60"/>
        <v>992994.7007698263</v>
      </c>
      <c r="Y134" s="6">
        <f t="shared" si="61"/>
        <v>89071403.463041291</v>
      </c>
      <c r="Z134" s="6">
        <f t="shared" si="69"/>
        <v>11575665.239051715</v>
      </c>
      <c r="AA134" s="6">
        <f t="shared" si="62"/>
        <v>77495738.223989576</v>
      </c>
      <c r="AB134" s="6">
        <f t="shared" si="63"/>
        <v>10582670.538281888</v>
      </c>
      <c r="AC134" s="6">
        <f t="shared" si="52"/>
        <v>-13195365.835364811</v>
      </c>
      <c r="AD134" s="6"/>
      <c r="AE134" s="6"/>
      <c r="AF134" s="6"/>
      <c r="AH134">
        <v>113</v>
      </c>
      <c r="AI134" s="6">
        <f t="shared" si="53"/>
        <v>100191.81228592803</v>
      </c>
      <c r="AJ134" s="4">
        <f t="shared" si="54"/>
        <v>798.94358099435556</v>
      </c>
      <c r="AK134" s="6">
        <f t="shared" si="55"/>
        <v>100990.75586692238</v>
      </c>
      <c r="AL134" s="4">
        <f t="shared" si="56"/>
        <v>12977.546329505407</v>
      </c>
      <c r="AM134" s="6">
        <f t="shared" si="57"/>
        <v>88013.209537416973</v>
      </c>
      <c r="AN134" s="6">
        <f t="shared" si="58"/>
        <v>12178.602748511052</v>
      </c>
    </row>
    <row r="135" spans="2:40" x14ac:dyDescent="0.25">
      <c r="B135">
        <v>114</v>
      </c>
      <c r="C135" s="6">
        <f t="shared" si="64"/>
        <v>147852.7045517021</v>
      </c>
      <c r="D135" s="4">
        <f t="shared" si="39"/>
        <v>1178.9982288884914</v>
      </c>
      <c r="E135" s="6">
        <f t="shared" si="65"/>
        <v>149031.7027805906</v>
      </c>
      <c r="F135" s="4">
        <f t="shared" si="66"/>
        <v>21800.878906101399</v>
      </c>
      <c r="G135" s="6">
        <f t="shared" si="67"/>
        <v>127230.8238744892</v>
      </c>
      <c r="H135" s="6">
        <f t="shared" si="68"/>
        <v>20621.880677212906</v>
      </c>
      <c r="I135" s="6">
        <f t="shared" si="40"/>
        <v>607.24909699560976</v>
      </c>
      <c r="J135" s="6">
        <f t="shared" si="41"/>
        <v>89490452.871690035</v>
      </c>
      <c r="K135" s="6">
        <f t="shared" si="42"/>
        <v>713609.43824505049</v>
      </c>
      <c r="L135" s="6">
        <f t="shared" si="43"/>
        <v>292968.45569304877</v>
      </c>
      <c r="M135" s="6">
        <f t="shared" si="44"/>
        <v>2336.1716069354411</v>
      </c>
      <c r="N135" s="6">
        <f t="shared" si="45"/>
        <v>1008914.0655450347</v>
      </c>
      <c r="O135" s="6">
        <f t="shared" si="46"/>
        <v>90499366.937235072</v>
      </c>
      <c r="P135" s="6">
        <f t="shared" si="47"/>
        <v>13238564.029440712</v>
      </c>
      <c r="Q135" s="6">
        <f t="shared" si="48"/>
        <v>77260802.907794356</v>
      </c>
      <c r="R135" s="6">
        <f t="shared" si="49"/>
        <v>12229649.963895677</v>
      </c>
      <c r="S135" s="6">
        <f t="shared" si="50"/>
        <v>-21800.878906101399</v>
      </c>
      <c r="T135" s="6">
        <f t="shared" si="51"/>
        <v>-13238564.029440712</v>
      </c>
      <c r="U135" s="6"/>
      <c r="V135">
        <v>114</v>
      </c>
      <c r="W135" s="6">
        <f t="shared" si="59"/>
        <v>77495738.223989576</v>
      </c>
      <c r="X135" s="6">
        <f t="shared" si="60"/>
        <v>873685.82686782372</v>
      </c>
      <c r="Y135" s="6">
        <f t="shared" si="61"/>
        <v>78369424.050857395</v>
      </c>
      <c r="Z135" s="6">
        <f t="shared" si="69"/>
        <v>11575665.239051715</v>
      </c>
      <c r="AA135" s="6">
        <f t="shared" si="62"/>
        <v>66793758.81180568</v>
      </c>
      <c r="AB135" s="6">
        <f t="shared" si="63"/>
        <v>10701979.41218389</v>
      </c>
      <c r="AC135" s="6">
        <f t="shared" si="52"/>
        <v>-13238564.029440712</v>
      </c>
      <c r="AD135" s="6"/>
      <c r="AE135" s="6"/>
      <c r="AF135" s="6"/>
      <c r="AH135">
        <v>114</v>
      </c>
      <c r="AI135" s="6">
        <f t="shared" si="53"/>
        <v>88013.209537416973</v>
      </c>
      <c r="AJ135" s="4">
        <f t="shared" si="54"/>
        <v>701.82969244989511</v>
      </c>
      <c r="AK135" s="6">
        <f t="shared" si="55"/>
        <v>88715.039229866874</v>
      </c>
      <c r="AL135" s="4">
        <f t="shared" si="56"/>
        <v>12977.546329505407</v>
      </c>
      <c r="AM135" s="6">
        <f t="shared" si="57"/>
        <v>75737.492900361467</v>
      </c>
      <c r="AN135" s="6">
        <f t="shared" si="58"/>
        <v>12275.716637055511</v>
      </c>
    </row>
    <row r="136" spans="2:40" x14ac:dyDescent="0.25">
      <c r="B136">
        <v>115</v>
      </c>
      <c r="C136" s="6">
        <f t="shared" si="64"/>
        <v>127230.8238744892</v>
      </c>
      <c r="D136" s="4">
        <f t="shared" si="39"/>
        <v>1014.5564564602986</v>
      </c>
      <c r="E136" s="6">
        <f t="shared" si="65"/>
        <v>128245.3803309495</v>
      </c>
      <c r="F136" s="4">
        <f t="shared" si="66"/>
        <v>21800.878906101399</v>
      </c>
      <c r="G136" s="6">
        <f t="shared" si="67"/>
        <v>106444.5014248481</v>
      </c>
      <c r="H136" s="6">
        <f t="shared" si="68"/>
        <v>20786.322449641102</v>
      </c>
      <c r="I136" s="6">
        <f t="shared" si="40"/>
        <v>609.23707252214865</v>
      </c>
      <c r="J136" s="6">
        <f t="shared" si="41"/>
        <v>77260802.907794356</v>
      </c>
      <c r="K136" s="6">
        <f t="shared" si="42"/>
        <v>616088.49203660851</v>
      </c>
      <c r="L136" s="6">
        <f t="shared" si="43"/>
        <v>252931.76408387595</v>
      </c>
      <c r="M136" s="6">
        <f t="shared" si="44"/>
        <v>2016.9134057351844</v>
      </c>
      <c r="N136" s="6">
        <f t="shared" si="45"/>
        <v>871037.1695262196</v>
      </c>
      <c r="O136" s="6">
        <f t="shared" si="46"/>
        <v>78131840.077320576</v>
      </c>
      <c r="P136" s="6">
        <f t="shared" si="47"/>
        <v>13281903.643163079</v>
      </c>
      <c r="Q136" s="6">
        <f t="shared" si="48"/>
        <v>64849936.434157498</v>
      </c>
      <c r="R136" s="6">
        <f t="shared" si="49"/>
        <v>12410866.47363686</v>
      </c>
      <c r="S136" s="6">
        <f t="shared" si="50"/>
        <v>-21800.878906101399</v>
      </c>
      <c r="T136" s="6">
        <f t="shared" si="51"/>
        <v>-13281903.643163079</v>
      </c>
      <c r="U136" s="6"/>
      <c r="V136">
        <v>115</v>
      </c>
      <c r="W136" s="6">
        <f t="shared" si="59"/>
        <v>66793758.81180568</v>
      </c>
      <c r="X136" s="6">
        <f t="shared" si="60"/>
        <v>753031.86645478674</v>
      </c>
      <c r="Y136" s="6">
        <f t="shared" si="61"/>
        <v>67546790.67826046</v>
      </c>
      <c r="Z136" s="6">
        <f t="shared" si="69"/>
        <v>11575665.239051715</v>
      </c>
      <c r="AA136" s="6">
        <f t="shared" si="62"/>
        <v>55971125.439208746</v>
      </c>
      <c r="AB136" s="6">
        <f t="shared" si="63"/>
        <v>10822633.372596927</v>
      </c>
      <c r="AC136" s="6">
        <f t="shared" si="52"/>
        <v>-13281903.643163079</v>
      </c>
      <c r="AD136" s="6"/>
      <c r="AE136" s="6"/>
      <c r="AF136" s="6"/>
      <c r="AH136">
        <v>115</v>
      </c>
      <c r="AI136" s="6">
        <f t="shared" si="53"/>
        <v>75737.492900361467</v>
      </c>
      <c r="AJ136" s="4">
        <f t="shared" si="54"/>
        <v>603.94140412058414</v>
      </c>
      <c r="AK136" s="6">
        <f t="shared" si="55"/>
        <v>76341.434304482056</v>
      </c>
      <c r="AL136" s="4">
        <f t="shared" si="56"/>
        <v>12977.546329505407</v>
      </c>
      <c r="AM136" s="6">
        <f t="shared" si="57"/>
        <v>63363.887974976649</v>
      </c>
      <c r="AN136" s="6">
        <f t="shared" si="58"/>
        <v>12373.604925384823</v>
      </c>
    </row>
    <row r="137" spans="2:40" x14ac:dyDescent="0.25">
      <c r="B137">
        <v>116</v>
      </c>
      <c r="C137" s="6">
        <f t="shared" si="64"/>
        <v>106444.5014248481</v>
      </c>
      <c r="D137" s="4">
        <f t="shared" si="39"/>
        <v>848.80340224638564</v>
      </c>
      <c r="E137" s="6">
        <f t="shared" si="65"/>
        <v>107293.30482709449</v>
      </c>
      <c r="F137" s="4">
        <f t="shared" si="66"/>
        <v>21800.878906101399</v>
      </c>
      <c r="G137" s="6">
        <f t="shared" si="67"/>
        <v>85492.42592099309</v>
      </c>
      <c r="H137" s="6">
        <f t="shared" si="68"/>
        <v>20952.075503855012</v>
      </c>
      <c r="I137" s="6">
        <f t="shared" si="40"/>
        <v>611.23155616325482</v>
      </c>
      <c r="J137" s="6">
        <f t="shared" si="41"/>
        <v>64849936.434157498</v>
      </c>
      <c r="K137" s="6">
        <f t="shared" si="42"/>
        <v>517122.49993145454</v>
      </c>
      <c r="L137" s="6">
        <f t="shared" si="43"/>
        <v>212301.81677757221</v>
      </c>
      <c r="M137" s="6">
        <f t="shared" si="44"/>
        <v>1692.9245002957582</v>
      </c>
      <c r="N137" s="6">
        <f t="shared" si="45"/>
        <v>731117.24120932259</v>
      </c>
      <c r="O137" s="6">
        <f t="shared" si="46"/>
        <v>65581053.675366819</v>
      </c>
      <c r="P137" s="6">
        <f t="shared" si="47"/>
        <v>13325385.139503036</v>
      </c>
      <c r="Q137" s="6">
        <f t="shared" si="48"/>
        <v>52255668.535863787</v>
      </c>
      <c r="R137" s="6">
        <f t="shared" si="49"/>
        <v>12594267.898293713</v>
      </c>
      <c r="S137" s="6">
        <f t="shared" si="50"/>
        <v>-21800.878906101399</v>
      </c>
      <c r="T137" s="6">
        <f t="shared" si="51"/>
        <v>-13325385.139503036</v>
      </c>
      <c r="U137" s="6"/>
      <c r="V137">
        <v>116</v>
      </c>
      <c r="W137" s="6">
        <f t="shared" si="59"/>
        <v>55971125.439208746</v>
      </c>
      <c r="X137" s="6">
        <f t="shared" si="60"/>
        <v>631017.65504493169</v>
      </c>
      <c r="Y137" s="6">
        <f t="shared" si="61"/>
        <v>56602143.094253674</v>
      </c>
      <c r="Z137" s="6">
        <f t="shared" si="69"/>
        <v>11575665.239051715</v>
      </c>
      <c r="AA137" s="6">
        <f t="shared" si="62"/>
        <v>45026477.85520196</v>
      </c>
      <c r="AB137" s="6">
        <f t="shared" si="63"/>
        <v>10944647.584006783</v>
      </c>
      <c r="AC137" s="6">
        <f t="shared" si="52"/>
        <v>-13325385.139503036</v>
      </c>
      <c r="AD137" s="6"/>
      <c r="AE137" s="6"/>
      <c r="AF137" s="6"/>
      <c r="AH137">
        <v>116</v>
      </c>
      <c r="AI137" s="6">
        <f t="shared" si="53"/>
        <v>63363.887974976649</v>
      </c>
      <c r="AJ137" s="4">
        <f t="shared" si="54"/>
        <v>505.27254083379034</v>
      </c>
      <c r="AK137" s="6">
        <f t="shared" si="55"/>
        <v>63869.160515810443</v>
      </c>
      <c r="AL137" s="4">
        <f t="shared" si="56"/>
        <v>12977.546329505407</v>
      </c>
      <c r="AM137" s="6">
        <f t="shared" si="57"/>
        <v>50891.614186305036</v>
      </c>
      <c r="AN137" s="6">
        <f t="shared" si="58"/>
        <v>12472.273788671617</v>
      </c>
    </row>
    <row r="138" spans="2:40" x14ac:dyDescent="0.25">
      <c r="B138">
        <v>117</v>
      </c>
      <c r="C138" s="6">
        <f t="shared" si="64"/>
        <v>85492.42592099309</v>
      </c>
      <c r="D138" s="4">
        <f t="shared" si="39"/>
        <v>681.72860990165111</v>
      </c>
      <c r="E138" s="6">
        <f t="shared" si="65"/>
        <v>86174.154530894739</v>
      </c>
      <c r="F138" s="4">
        <f t="shared" si="66"/>
        <v>21800.878906101399</v>
      </c>
      <c r="G138" s="6">
        <f t="shared" si="67"/>
        <v>64373.275624793343</v>
      </c>
      <c r="H138" s="6">
        <f t="shared" si="68"/>
        <v>21119.150296199747</v>
      </c>
      <c r="I138" s="6">
        <f t="shared" si="40"/>
        <v>613.23256922480186</v>
      </c>
      <c r="J138" s="6">
        <f t="shared" si="41"/>
        <v>52255668.535863787</v>
      </c>
      <c r="K138" s="6">
        <f t="shared" si="42"/>
        <v>416694.03911122581</v>
      </c>
      <c r="L138" s="6">
        <f t="shared" si="43"/>
        <v>171071.46093125737</v>
      </c>
      <c r="M138" s="6">
        <f t="shared" si="44"/>
        <v>1364.1478528435703</v>
      </c>
      <c r="N138" s="6">
        <f t="shared" si="45"/>
        <v>589129.64789532672</v>
      </c>
      <c r="O138" s="6">
        <f t="shared" si="46"/>
        <v>52844798.183759116</v>
      </c>
      <c r="P138" s="6">
        <f t="shared" si="47"/>
        <v>13369008.98294735</v>
      </c>
      <c r="Q138" s="6">
        <f t="shared" si="48"/>
        <v>39475789.200811766</v>
      </c>
      <c r="R138" s="6">
        <f t="shared" si="49"/>
        <v>12779879.335052023</v>
      </c>
      <c r="S138" s="6">
        <f t="shared" si="50"/>
        <v>-21800.878906101399</v>
      </c>
      <c r="T138" s="6">
        <f t="shared" si="51"/>
        <v>-13369008.98294735</v>
      </c>
      <c r="U138" s="6"/>
      <c r="V138">
        <v>117</v>
      </c>
      <c r="W138" s="6">
        <f t="shared" si="59"/>
        <v>45026477.85520196</v>
      </c>
      <c r="X138" s="6">
        <f t="shared" si="60"/>
        <v>507627.85718828213</v>
      </c>
      <c r="Y138" s="6">
        <f t="shared" si="61"/>
        <v>45534105.712390244</v>
      </c>
      <c r="Z138" s="6">
        <f t="shared" si="69"/>
        <v>11575665.239051715</v>
      </c>
      <c r="AA138" s="6">
        <f t="shared" si="62"/>
        <v>33958440.473338529</v>
      </c>
      <c r="AB138" s="6">
        <f t="shared" si="63"/>
        <v>11068037.381863432</v>
      </c>
      <c r="AC138" s="6">
        <f t="shared" si="52"/>
        <v>-13369008.98294735</v>
      </c>
      <c r="AD138" s="6"/>
      <c r="AE138" s="6"/>
      <c r="AF138" s="6"/>
      <c r="AH138">
        <v>117</v>
      </c>
      <c r="AI138" s="6">
        <f t="shared" si="53"/>
        <v>50891.614186305036</v>
      </c>
      <c r="AJ138" s="4">
        <f t="shared" si="54"/>
        <v>405.81687817518736</v>
      </c>
      <c r="AK138" s="6">
        <f t="shared" si="55"/>
        <v>51297.431064480224</v>
      </c>
      <c r="AL138" s="4">
        <f t="shared" si="56"/>
        <v>12977.546329505407</v>
      </c>
      <c r="AM138" s="6">
        <f t="shared" si="57"/>
        <v>38319.884734974818</v>
      </c>
      <c r="AN138" s="6">
        <f t="shared" si="58"/>
        <v>12571.72945133022</v>
      </c>
    </row>
    <row r="139" spans="2:40" x14ac:dyDescent="0.25">
      <c r="B139">
        <v>118</v>
      </c>
      <c r="C139" s="6">
        <f t="shared" si="64"/>
        <v>64373.275624793343</v>
      </c>
      <c r="D139" s="4">
        <f t="shared" si="39"/>
        <v>513.32153970062984</v>
      </c>
      <c r="E139" s="6">
        <f t="shared" si="65"/>
        <v>64886.597164493971</v>
      </c>
      <c r="F139" s="4">
        <f t="shared" si="66"/>
        <v>21800.878906101399</v>
      </c>
      <c r="G139" s="6">
        <f t="shared" si="67"/>
        <v>43085.718258392575</v>
      </c>
      <c r="H139" s="6">
        <f t="shared" si="68"/>
        <v>21287.557366400768</v>
      </c>
      <c r="I139" s="6">
        <f t="shared" si="40"/>
        <v>615.24013308241319</v>
      </c>
      <c r="J139" s="6">
        <f t="shared" si="41"/>
        <v>39475789.200811766</v>
      </c>
      <c r="K139" s="6">
        <f t="shared" si="42"/>
        <v>314785.48662907572</v>
      </c>
      <c r="L139" s="6">
        <f t="shared" si="43"/>
        <v>129233.46154039577</v>
      </c>
      <c r="M139" s="6">
        <f t="shared" si="44"/>
        <v>1030.5257704364496</v>
      </c>
      <c r="N139" s="6">
        <f t="shared" si="45"/>
        <v>445049.47393990797</v>
      </c>
      <c r="O139" s="6">
        <f t="shared" si="46"/>
        <v>39920838.674751677</v>
      </c>
      <c r="P139" s="6">
        <f t="shared" si="47"/>
        <v>13412775.639503399</v>
      </c>
      <c r="Q139" s="6">
        <f t="shared" si="48"/>
        <v>26508063.03524828</v>
      </c>
      <c r="R139" s="6">
        <f t="shared" si="49"/>
        <v>12967726.16556349</v>
      </c>
      <c r="S139" s="6">
        <f t="shared" si="50"/>
        <v>-21800.878906101399</v>
      </c>
      <c r="T139" s="6">
        <f t="shared" si="51"/>
        <v>-13412775.639503399</v>
      </c>
      <c r="U139" s="6"/>
      <c r="V139">
        <v>118</v>
      </c>
      <c r="W139" s="6">
        <f t="shared" si="59"/>
        <v>33958440.473338529</v>
      </c>
      <c r="X139" s="6">
        <f t="shared" si="60"/>
        <v>382846.96454322193</v>
      </c>
      <c r="Y139" s="6">
        <f t="shared" si="61"/>
        <v>34341287.437881753</v>
      </c>
      <c r="Z139" s="6">
        <f t="shared" si="69"/>
        <v>11575665.239051715</v>
      </c>
      <c r="AA139" s="6">
        <f t="shared" si="62"/>
        <v>22765622.198830038</v>
      </c>
      <c r="AB139" s="6">
        <f t="shared" si="63"/>
        <v>11192818.274508493</v>
      </c>
      <c r="AC139" s="6">
        <f t="shared" si="52"/>
        <v>-13412775.639503399</v>
      </c>
      <c r="AD139" s="6"/>
      <c r="AE139" s="6"/>
      <c r="AF139" s="6"/>
      <c r="AH139">
        <v>118</v>
      </c>
      <c r="AI139" s="6">
        <f t="shared" si="53"/>
        <v>38319.884734974818</v>
      </c>
      <c r="AJ139" s="4">
        <f t="shared" si="54"/>
        <v>305.5681420960949</v>
      </c>
      <c r="AK139" s="6">
        <f t="shared" si="55"/>
        <v>38625.452877070915</v>
      </c>
      <c r="AL139" s="4">
        <f t="shared" si="56"/>
        <v>12977.546329505407</v>
      </c>
      <c r="AM139" s="6">
        <f t="shared" si="57"/>
        <v>25647.906547565508</v>
      </c>
      <c r="AN139" s="6">
        <f t="shared" si="58"/>
        <v>12671.978187409311</v>
      </c>
    </row>
    <row r="140" spans="2:40" x14ac:dyDescent="0.25">
      <c r="B140">
        <v>119</v>
      </c>
      <c r="C140" s="6">
        <f t="shared" si="64"/>
        <v>43085.718258392575</v>
      </c>
      <c r="D140" s="4">
        <f t="shared" si="39"/>
        <v>343.57156787260533</v>
      </c>
      <c r="E140" s="6">
        <f t="shared" si="65"/>
        <v>43429.28982626518</v>
      </c>
      <c r="F140" s="4">
        <f t="shared" si="66"/>
        <v>21800.878906101399</v>
      </c>
      <c r="G140" s="6">
        <f t="shared" si="67"/>
        <v>21628.41092016378</v>
      </c>
      <c r="H140" s="6">
        <f t="shared" si="68"/>
        <v>21457.307338228795</v>
      </c>
      <c r="I140" s="6">
        <f t="shared" si="40"/>
        <v>617.25426918169046</v>
      </c>
      <c r="J140" s="6">
        <f t="shared" si="41"/>
        <v>26508063.03524828</v>
      </c>
      <c r="K140" s="6">
        <f t="shared" si="42"/>
        <v>211379.01714130273</v>
      </c>
      <c r="L140" s="6">
        <f t="shared" si="43"/>
        <v>86780.500507528792</v>
      </c>
      <c r="M140" s="6">
        <f t="shared" si="44"/>
        <v>691.99989753758905</v>
      </c>
      <c r="N140" s="6">
        <f t="shared" si="45"/>
        <v>298851.51754636911</v>
      </c>
      <c r="O140" s="6">
        <f t="shared" si="46"/>
        <v>26806914.55279465</v>
      </c>
      <c r="P140" s="6">
        <f t="shared" si="47"/>
        <v>13456685.57670415</v>
      </c>
      <c r="Q140" s="6">
        <f t="shared" si="48"/>
        <v>13350228.9760905</v>
      </c>
      <c r="R140" s="6">
        <f t="shared" si="49"/>
        <v>13157834.059157781</v>
      </c>
      <c r="S140" s="6">
        <f t="shared" si="50"/>
        <v>-21800.878906101399</v>
      </c>
      <c r="T140" s="6">
        <f t="shared" si="51"/>
        <v>-13456685.57670415</v>
      </c>
      <c r="U140" s="6"/>
      <c r="V140">
        <v>119</v>
      </c>
      <c r="W140" s="6">
        <f t="shared" si="59"/>
        <v>22765622.198830038</v>
      </c>
      <c r="X140" s="6">
        <f t="shared" si="60"/>
        <v>256659.29392731635</v>
      </c>
      <c r="Y140" s="6">
        <f t="shared" si="61"/>
        <v>23022281.492757354</v>
      </c>
      <c r="Z140" s="6">
        <f t="shared" si="69"/>
        <v>11575665.239051715</v>
      </c>
      <c r="AA140" s="6">
        <f t="shared" si="62"/>
        <v>11446616.253705639</v>
      </c>
      <c r="AB140" s="6">
        <f t="shared" si="63"/>
        <v>11319005.945124399</v>
      </c>
      <c r="AC140" s="6">
        <f t="shared" si="52"/>
        <v>-13456685.57670415</v>
      </c>
      <c r="AD140" s="6"/>
      <c r="AE140" s="6"/>
      <c r="AF140" s="6"/>
      <c r="AH140">
        <v>119</v>
      </c>
      <c r="AI140" s="6">
        <f t="shared" si="53"/>
        <v>25647.906547565508</v>
      </c>
      <c r="AJ140" s="4">
        <f t="shared" si="54"/>
        <v>204.52000851768767</v>
      </c>
      <c r="AK140" s="6">
        <f t="shared" si="55"/>
        <v>25852.426556083195</v>
      </c>
      <c r="AL140" s="4">
        <f t="shared" si="56"/>
        <v>12977.546329505407</v>
      </c>
      <c r="AM140" s="6">
        <f t="shared" si="57"/>
        <v>12874.880226577789</v>
      </c>
      <c r="AN140" s="6">
        <f t="shared" si="58"/>
        <v>12773.026320987719</v>
      </c>
    </row>
    <row r="141" spans="2:40" x14ac:dyDescent="0.25">
      <c r="B141">
        <v>120</v>
      </c>
      <c r="C141" s="6">
        <f t="shared" si="64"/>
        <v>21628.41092016378</v>
      </c>
      <c r="D141" s="4">
        <f t="shared" si="39"/>
        <v>172.46798593142168</v>
      </c>
      <c r="E141" s="6">
        <f t="shared" si="65"/>
        <v>21800.8789060952</v>
      </c>
      <c r="F141" s="4">
        <f t="shared" si="66"/>
        <v>21800.878906101399</v>
      </c>
      <c r="G141" s="6">
        <f t="shared" si="67"/>
        <v>-6.1991158872842789E-9</v>
      </c>
      <c r="H141" s="6">
        <f t="shared" si="68"/>
        <v>21628.410920169979</v>
      </c>
      <c r="I141" s="6">
        <f t="shared" si="40"/>
        <v>619.27499903844273</v>
      </c>
      <c r="J141" s="6">
        <f t="shared" si="41"/>
        <v>13350228.9760905</v>
      </c>
      <c r="K141" s="6">
        <f t="shared" si="42"/>
        <v>106456.60061336576</v>
      </c>
      <c r="L141" s="6">
        <f t="shared" si="43"/>
        <v>43705.175700492153</v>
      </c>
      <c r="M141" s="6">
        <f t="shared" si="44"/>
        <v>348.51120850563689</v>
      </c>
      <c r="N141" s="6">
        <f t="shared" si="45"/>
        <v>150510.28752236353</v>
      </c>
      <c r="O141" s="6">
        <f t="shared" si="46"/>
        <v>13500739.263612865</v>
      </c>
      <c r="P141" s="6">
        <f t="shared" si="47"/>
        <v>13500739.263613151</v>
      </c>
      <c r="Q141" s="6">
        <f t="shared" si="48"/>
        <v>-2.8684735298156738E-7</v>
      </c>
      <c r="R141" s="6">
        <f t="shared" si="49"/>
        <v>13350228.976090787</v>
      </c>
      <c r="S141" s="6">
        <f t="shared" si="50"/>
        <v>-21800.878906101399</v>
      </c>
      <c r="T141" s="6">
        <f t="shared" si="51"/>
        <v>-13500739.263613151</v>
      </c>
      <c r="U141" s="6"/>
      <c r="V141">
        <v>120</v>
      </c>
      <c r="W141" s="6">
        <f t="shared" si="59"/>
        <v>11446616.253705639</v>
      </c>
      <c r="X141" s="6">
        <f t="shared" si="60"/>
        <v>129048.98534616</v>
      </c>
      <c r="Y141" s="6">
        <f t="shared" si="61"/>
        <v>11575665.2390518</v>
      </c>
      <c r="Z141" s="6">
        <f t="shared" si="69"/>
        <v>11575665.239051715</v>
      </c>
      <c r="AA141" s="6">
        <f t="shared" si="62"/>
        <v>8.5681676864624023E-8</v>
      </c>
      <c r="AB141" s="6">
        <f t="shared" si="63"/>
        <v>11446616.253705554</v>
      </c>
      <c r="AC141" s="6">
        <f t="shared" si="52"/>
        <v>-13500739.263613151</v>
      </c>
      <c r="AD141" s="6"/>
      <c r="AE141" s="6"/>
      <c r="AF141" s="6"/>
      <c r="AH141">
        <v>120</v>
      </c>
      <c r="AI141" s="6">
        <f t="shared" si="53"/>
        <v>12874.880226577789</v>
      </c>
      <c r="AJ141" s="4">
        <f t="shared" si="54"/>
        <v>102.66610293204761</v>
      </c>
      <c r="AK141" s="6">
        <f t="shared" si="55"/>
        <v>12977.546329509836</v>
      </c>
      <c r="AL141" s="4">
        <f t="shared" si="56"/>
        <v>12977.546329505407</v>
      </c>
      <c r="AM141" s="6">
        <f t="shared" si="57"/>
        <v>4.4292391976341605E-9</v>
      </c>
      <c r="AN141" s="6">
        <f t="shared" si="58"/>
        <v>12874.880226573359</v>
      </c>
    </row>
  </sheetData>
  <mergeCells count="5">
    <mergeCell ref="B2:E8"/>
    <mergeCell ref="B19:H19"/>
    <mergeCell ref="AH19:AN19"/>
    <mergeCell ref="I19:R19"/>
    <mergeCell ref="V19:A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50EB-8DB9-4D80-9D2F-CEFCE4028C4F}">
  <dimension ref="A1:D11"/>
  <sheetViews>
    <sheetView tabSelected="1" workbookViewId="0">
      <selection activeCell="C15" sqref="C15"/>
    </sheetView>
  </sheetViews>
  <sheetFormatPr baseColWidth="10" defaultRowHeight="15" x14ac:dyDescent="0.25"/>
  <cols>
    <col min="3" max="3" width="12" bestFit="1" customWidth="1"/>
  </cols>
  <sheetData>
    <row r="1" spans="1:4" x14ac:dyDescent="0.25">
      <c r="B1" t="s">
        <v>85</v>
      </c>
    </row>
    <row r="2" spans="1:4" x14ac:dyDescent="0.25">
      <c r="A2" t="s">
        <v>88</v>
      </c>
      <c r="B2" t="s">
        <v>86</v>
      </c>
      <c r="C2" s="4">
        <v>36500</v>
      </c>
      <c r="D2" t="s">
        <v>87</v>
      </c>
    </row>
    <row r="3" spans="1:4" x14ac:dyDescent="0.25">
      <c r="A3" t="s">
        <v>89</v>
      </c>
      <c r="B3" t="s">
        <v>90</v>
      </c>
    </row>
    <row r="4" spans="1:4" x14ac:dyDescent="0.25">
      <c r="B4" s="18" t="s">
        <v>91</v>
      </c>
      <c r="C4" s="18"/>
      <c r="D4" s="18"/>
    </row>
    <row r="5" spans="1:4" x14ac:dyDescent="0.25">
      <c r="B5" s="18"/>
      <c r="C5" s="18"/>
      <c r="D5" s="18"/>
    </row>
    <row r="6" spans="1:4" x14ac:dyDescent="0.25">
      <c r="B6" s="18"/>
      <c r="C6" s="18"/>
      <c r="D6" s="18"/>
    </row>
    <row r="7" spans="1:4" x14ac:dyDescent="0.25">
      <c r="B7" s="18"/>
      <c r="C7" s="18"/>
      <c r="D7" s="18"/>
    </row>
    <row r="8" spans="1:4" x14ac:dyDescent="0.25">
      <c r="B8" s="18"/>
      <c r="C8" s="18"/>
      <c r="D8" s="18"/>
    </row>
    <row r="9" spans="1:4" x14ac:dyDescent="0.25">
      <c r="B9" s="18"/>
      <c r="C9" s="18"/>
      <c r="D9" s="18"/>
    </row>
    <row r="10" spans="1:4" x14ac:dyDescent="0.25">
      <c r="B10" s="18"/>
      <c r="C10" s="18"/>
      <c r="D10" s="18"/>
    </row>
    <row r="11" spans="1:4" x14ac:dyDescent="0.25">
      <c r="B11" s="18"/>
      <c r="C11" s="18"/>
      <c r="D11" s="18"/>
    </row>
  </sheetData>
  <mergeCells count="1">
    <mergeCell ref="B4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Leasing</vt:lpstr>
      <vt:lpstr>EjercicioTaller</vt:lpstr>
      <vt:lpstr>Leasing Proyecto final</vt:lpstr>
      <vt:lpstr>Ejercicio Moto</vt:lpstr>
    </vt:vector>
  </TitlesOfParts>
  <Company>Universidad EAFIT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Aulas Admisiones</dc:creator>
  <cp:lastModifiedBy>Clases Aulas Admisiones</cp:lastModifiedBy>
  <dcterms:created xsi:type="dcterms:W3CDTF">2026-09-21T23:08:22Z</dcterms:created>
  <dcterms:modified xsi:type="dcterms:W3CDTF">2026-09-24T00:25:47Z</dcterms:modified>
</cp:coreProperties>
</file>