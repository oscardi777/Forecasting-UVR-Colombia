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8E8E45F-7171-4B3A-B3D1-46AAB86A997F}" xr6:coauthVersionLast="47" xr6:coauthVersionMax="47" xr10:uidLastSave="{00000000-0000-0000-0000-000000000000}"/>
  <bookViews>
    <workbookView xWindow="-110" yWindow="-110" windowWidth="19420" windowHeight="11500" xr2:uid="{6CBC8498-C122-498B-871F-3F3BECB1A03D}"/>
  </bookViews>
  <sheets>
    <sheet name="Leasing Proyecto 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26" i="3" l="1"/>
  <c r="AZ27" i="3"/>
  <c r="AZ28" i="3"/>
  <c r="BD28" i="3" s="1"/>
  <c r="AZ29" i="3"/>
  <c r="AZ30" i="3"/>
  <c r="AZ31" i="3"/>
  <c r="BD31" i="3" s="1"/>
  <c r="AZ32" i="3"/>
  <c r="BD32" i="3" s="1"/>
  <c r="AZ33" i="3"/>
  <c r="BD33" i="3" s="1"/>
  <c r="AZ34" i="3"/>
  <c r="BD34" i="3" s="1"/>
  <c r="AZ35" i="3"/>
  <c r="BD35" i="3" s="1"/>
  <c r="AZ36" i="3"/>
  <c r="BD36" i="3" s="1"/>
  <c r="AZ37" i="3"/>
  <c r="BD37" i="3" s="1"/>
  <c r="AZ38" i="3"/>
  <c r="AZ39" i="3"/>
  <c r="BD39" i="3" s="1"/>
  <c r="AZ40" i="3"/>
  <c r="BD40" i="3" s="1"/>
  <c r="AZ41" i="3"/>
  <c r="BD41" i="3" s="1"/>
  <c r="AZ42" i="3"/>
  <c r="AZ43" i="3"/>
  <c r="BD43" i="3" s="1"/>
  <c r="AZ44" i="3"/>
  <c r="AZ45" i="3"/>
  <c r="AZ46" i="3"/>
  <c r="AZ47" i="3"/>
  <c r="BD47" i="3" s="1"/>
  <c r="AZ48" i="3"/>
  <c r="AZ49" i="3"/>
  <c r="AZ50" i="3"/>
  <c r="BD50" i="3" s="1"/>
  <c r="AZ51" i="3"/>
  <c r="BD51" i="3" s="1"/>
  <c r="AZ52" i="3"/>
  <c r="BD52" i="3" s="1"/>
  <c r="AZ53" i="3"/>
  <c r="BD53" i="3" s="1"/>
  <c r="AZ54" i="3"/>
  <c r="BD54" i="3" s="1"/>
  <c r="AZ55" i="3"/>
  <c r="BD55" i="3" s="1"/>
  <c r="AZ56" i="3"/>
  <c r="BD56" i="3" s="1"/>
  <c r="AZ57" i="3"/>
  <c r="BD57" i="3" s="1"/>
  <c r="AZ58" i="3"/>
  <c r="AZ59" i="3"/>
  <c r="AZ60" i="3"/>
  <c r="BD60" i="3" s="1"/>
  <c r="AZ25" i="3"/>
  <c r="BA24" i="3"/>
  <c r="AT25" i="3" s="1"/>
  <c r="AS144" i="3"/>
  <c r="AS143" i="3"/>
  <c r="AS142" i="3"/>
  <c r="AS141" i="3"/>
  <c r="AS140" i="3"/>
  <c r="AS139" i="3"/>
  <c r="AS138" i="3"/>
  <c r="AS137" i="3"/>
  <c r="AS136" i="3"/>
  <c r="AS135" i="3"/>
  <c r="AS134" i="3"/>
  <c r="AS133" i="3"/>
  <c r="AS132" i="3"/>
  <c r="AS131" i="3"/>
  <c r="AS130" i="3"/>
  <c r="AS129" i="3"/>
  <c r="AS128" i="3"/>
  <c r="AS127" i="3"/>
  <c r="AS126" i="3"/>
  <c r="AS125" i="3"/>
  <c r="AS124" i="3"/>
  <c r="AS123" i="3"/>
  <c r="AS122" i="3"/>
  <c r="AS121" i="3"/>
  <c r="AS120" i="3"/>
  <c r="AS119" i="3"/>
  <c r="AS118" i="3"/>
  <c r="AS117" i="3"/>
  <c r="AS116" i="3"/>
  <c r="AS115" i="3"/>
  <c r="AS114" i="3"/>
  <c r="AS113" i="3"/>
  <c r="AS112" i="3"/>
  <c r="AS111" i="3"/>
  <c r="AS110" i="3"/>
  <c r="AS109" i="3"/>
  <c r="AS108" i="3"/>
  <c r="AS107" i="3"/>
  <c r="AS106" i="3"/>
  <c r="AS105" i="3"/>
  <c r="AS104" i="3"/>
  <c r="AS103" i="3"/>
  <c r="AS102" i="3"/>
  <c r="AS101" i="3"/>
  <c r="AS100" i="3"/>
  <c r="AS99" i="3"/>
  <c r="AS98" i="3"/>
  <c r="AS97" i="3"/>
  <c r="AS96" i="3"/>
  <c r="AS95" i="3"/>
  <c r="AS94" i="3"/>
  <c r="AS93" i="3"/>
  <c r="AS92" i="3"/>
  <c r="AS91" i="3"/>
  <c r="AS90" i="3"/>
  <c r="AS89" i="3"/>
  <c r="AS88" i="3"/>
  <c r="AS87" i="3"/>
  <c r="AS86" i="3"/>
  <c r="AS85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BD59" i="3"/>
  <c r="AS59" i="3"/>
  <c r="BD58" i="3"/>
  <c r="AS58" i="3"/>
  <c r="AS57" i="3"/>
  <c r="AS56" i="3"/>
  <c r="AS55" i="3"/>
  <c r="AS54" i="3"/>
  <c r="AS53" i="3"/>
  <c r="AS52" i="3"/>
  <c r="AS51" i="3"/>
  <c r="AS50" i="3"/>
  <c r="AS49" i="3"/>
  <c r="BD48" i="3"/>
  <c r="AS48" i="3"/>
  <c r="AS47" i="3"/>
  <c r="BD46" i="3"/>
  <c r="AS46" i="3"/>
  <c r="BD45" i="3"/>
  <c r="AS45" i="3"/>
  <c r="BD44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BD29" i="3"/>
  <c r="AS29" i="3"/>
  <c r="AS28" i="3"/>
  <c r="BD27" i="3"/>
  <c r="AS27" i="3"/>
  <c r="AS26" i="3"/>
  <c r="AS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25" i="3"/>
  <c r="AJ26" i="3"/>
  <c r="AN26" i="3" s="1"/>
  <c r="AJ27" i="3"/>
  <c r="AN27" i="3" s="1"/>
  <c r="AJ28" i="3"/>
  <c r="AN28" i="3" s="1"/>
  <c r="AJ29" i="3"/>
  <c r="AJ30" i="3"/>
  <c r="AJ31" i="3"/>
  <c r="AN31" i="3" s="1"/>
  <c r="AJ32" i="3"/>
  <c r="AJ33" i="3"/>
  <c r="AJ34" i="3"/>
  <c r="AN34" i="3" s="1"/>
  <c r="AJ35" i="3"/>
  <c r="AJ36" i="3"/>
  <c r="AJ37" i="3"/>
  <c r="AN37" i="3" s="1"/>
  <c r="AJ38" i="3"/>
  <c r="AN38" i="3" s="1"/>
  <c r="AJ39" i="3"/>
  <c r="AJ40" i="3"/>
  <c r="AJ41" i="3"/>
  <c r="AJ42" i="3"/>
  <c r="AJ43" i="3"/>
  <c r="AJ44" i="3"/>
  <c r="AJ45" i="3"/>
  <c r="AN45" i="3" s="1"/>
  <c r="AJ46" i="3"/>
  <c r="AJ47" i="3"/>
  <c r="AN47" i="3" s="1"/>
  <c r="AJ48" i="3"/>
  <c r="AN48" i="3" s="1"/>
  <c r="AJ49" i="3"/>
  <c r="AN49" i="3" s="1"/>
  <c r="AJ50" i="3"/>
  <c r="AN50" i="3" s="1"/>
  <c r="AJ51" i="3"/>
  <c r="AJ52" i="3"/>
  <c r="AJ53" i="3"/>
  <c r="AN53" i="3" s="1"/>
  <c r="AJ54" i="3"/>
  <c r="AN54" i="3" s="1"/>
  <c r="AJ55" i="3"/>
  <c r="AN55" i="3" s="1"/>
  <c r="AJ56" i="3"/>
  <c r="AN56" i="3" s="1"/>
  <c r="AJ57" i="3"/>
  <c r="AJ58" i="3"/>
  <c r="AN58" i="3" s="1"/>
  <c r="AJ59" i="3"/>
  <c r="AN59" i="3" s="1"/>
  <c r="AJ60" i="3"/>
  <c r="AJ25" i="3"/>
  <c r="AK24" i="3"/>
  <c r="AD25" i="3" s="1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25" i="3"/>
  <c r="F15" i="3"/>
  <c r="F72" i="3" s="1"/>
  <c r="AJ72" i="3" s="1"/>
  <c r="AV25" i="3" l="1"/>
  <c r="AM72" i="3"/>
  <c r="AZ72" i="3"/>
  <c r="BD72" i="3" s="1"/>
  <c r="BD24" i="3"/>
  <c r="F84" i="3"/>
  <c r="BD25" i="3"/>
  <c r="BD30" i="3"/>
  <c r="BD38" i="3"/>
  <c r="BD26" i="3"/>
  <c r="BD49" i="3"/>
  <c r="BD42" i="3"/>
  <c r="AF25" i="3"/>
  <c r="AN24" i="3"/>
  <c r="AN57" i="3"/>
  <c r="AN32" i="3"/>
  <c r="AN33" i="3"/>
  <c r="AN43" i="3"/>
  <c r="AN44" i="3"/>
  <c r="AN36" i="3"/>
  <c r="AN42" i="3"/>
  <c r="AN41" i="3"/>
  <c r="AN52" i="3"/>
  <c r="AN72" i="3"/>
  <c r="AC144" i="3"/>
  <c r="AN25" i="3"/>
  <c r="AN46" i="3"/>
  <c r="AN39" i="3"/>
  <c r="AN30" i="3"/>
  <c r="AN51" i="3"/>
  <c r="AN40" i="3"/>
  <c r="AN60" i="3"/>
  <c r="AN29" i="3"/>
  <c r="AN35" i="3"/>
  <c r="AZ84" i="3" l="1"/>
  <c r="BD84" i="3" s="1"/>
  <c r="AM84" i="3"/>
  <c r="AJ84" i="3"/>
  <c r="AN84" i="3" s="1"/>
  <c r="W26" i="3" l="1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25" i="3"/>
  <c r="U24" i="3" l="1"/>
  <c r="F83" i="3"/>
  <c r="G24" i="3"/>
  <c r="C13" i="3"/>
  <c r="AE25" i="3" l="1"/>
  <c r="AG25" i="3" s="1"/>
  <c r="AH25" i="3" s="1"/>
  <c r="AU25" i="3"/>
  <c r="AW25" i="3" s="1"/>
  <c r="AX25" i="3" s="1"/>
  <c r="W83" i="3"/>
  <c r="AZ83" i="3"/>
  <c r="BD83" i="3" s="1"/>
  <c r="AM83" i="3"/>
  <c r="AJ83" i="3"/>
  <c r="AN83" i="3" s="1"/>
  <c r="N25" i="3"/>
  <c r="P25" i="3" s="1"/>
  <c r="X24" i="3"/>
  <c r="C25" i="3"/>
  <c r="D25" i="3" s="1"/>
  <c r="E25" i="3" s="1"/>
  <c r="G25" i="3" s="1"/>
  <c r="C26" i="3" s="1"/>
  <c r="D26" i="3" s="1"/>
  <c r="H26" i="3" s="1"/>
  <c r="W24" i="3"/>
  <c r="AM24" i="3" s="1"/>
  <c r="F64" i="3"/>
  <c r="F61" i="3"/>
  <c r="F135" i="3"/>
  <c r="F122" i="3"/>
  <c r="F82" i="3"/>
  <c r="F76" i="3"/>
  <c r="F75" i="3"/>
  <c r="F74" i="3"/>
  <c r="F73" i="3"/>
  <c r="F71" i="3"/>
  <c r="F70" i="3"/>
  <c r="F134" i="3"/>
  <c r="F123" i="3"/>
  <c r="F109" i="3"/>
  <c r="F119" i="3"/>
  <c r="F63" i="3"/>
  <c r="F118" i="3"/>
  <c r="F108" i="3"/>
  <c r="F100" i="3"/>
  <c r="F99" i="3"/>
  <c r="F144" i="3"/>
  <c r="F98" i="3"/>
  <c r="F143" i="3"/>
  <c r="F97" i="3"/>
  <c r="F132" i="3"/>
  <c r="F96" i="3"/>
  <c r="F131" i="3"/>
  <c r="F95" i="3"/>
  <c r="F121" i="3"/>
  <c r="F88" i="3"/>
  <c r="F120" i="3"/>
  <c r="F87" i="3"/>
  <c r="F142" i="3"/>
  <c r="F112" i="3"/>
  <c r="F86" i="3"/>
  <c r="F136" i="3"/>
  <c r="F110" i="3"/>
  <c r="F85" i="3"/>
  <c r="F130" i="3"/>
  <c r="F107" i="3"/>
  <c r="W84" i="3"/>
  <c r="F124" i="3"/>
  <c r="F106" i="3"/>
  <c r="F65" i="3"/>
  <c r="F77" i="3"/>
  <c r="F89" i="3"/>
  <c r="F101" i="3"/>
  <c r="F113" i="3"/>
  <c r="F125" i="3"/>
  <c r="F137" i="3"/>
  <c r="F66" i="3"/>
  <c r="F78" i="3"/>
  <c r="F90" i="3"/>
  <c r="F102" i="3"/>
  <c r="F114" i="3"/>
  <c r="F126" i="3"/>
  <c r="F138" i="3"/>
  <c r="F62" i="3"/>
  <c r="F67" i="3"/>
  <c r="F79" i="3"/>
  <c r="F91" i="3"/>
  <c r="F103" i="3"/>
  <c r="F115" i="3"/>
  <c r="F127" i="3"/>
  <c r="F139" i="3"/>
  <c r="F68" i="3"/>
  <c r="F80" i="3"/>
  <c r="F92" i="3"/>
  <c r="F116" i="3"/>
  <c r="F128" i="3"/>
  <c r="F140" i="3"/>
  <c r="F69" i="3"/>
  <c r="F93" i="3"/>
  <c r="F117" i="3"/>
  <c r="F141" i="3"/>
  <c r="F104" i="3"/>
  <c r="F81" i="3"/>
  <c r="F105" i="3"/>
  <c r="F129" i="3"/>
  <c r="F133" i="3"/>
  <c r="F111" i="3"/>
  <c r="F94" i="3"/>
  <c r="W72" i="3"/>
  <c r="W61" i="3" l="1"/>
  <c r="AZ61" i="3"/>
  <c r="BD61" i="3" s="1"/>
  <c r="AJ61" i="3"/>
  <c r="AN61" i="3" s="1"/>
  <c r="AM61" i="3"/>
  <c r="W100" i="3"/>
  <c r="AM100" i="3"/>
  <c r="AZ100" i="3"/>
  <c r="BD100" i="3" s="1"/>
  <c r="AJ100" i="3"/>
  <c r="AN100" i="3" s="1"/>
  <c r="W94" i="3"/>
  <c r="AJ94" i="3"/>
  <c r="AN94" i="3" s="1"/>
  <c r="AZ94" i="3"/>
  <c r="BD94" i="3" s="1"/>
  <c r="AM94" i="3"/>
  <c r="W137" i="3"/>
  <c r="AJ137" i="3"/>
  <c r="AN137" i="3" s="1"/>
  <c r="AM137" i="3"/>
  <c r="AZ137" i="3"/>
  <c r="BD137" i="3" s="1"/>
  <c r="W111" i="3"/>
  <c r="AJ111" i="3"/>
  <c r="AN111" i="3" s="1"/>
  <c r="AZ111" i="3"/>
  <c r="BD111" i="3" s="1"/>
  <c r="AM111" i="3"/>
  <c r="W142" i="3"/>
  <c r="AJ142" i="3"/>
  <c r="AN142" i="3" s="1"/>
  <c r="AZ142" i="3"/>
  <c r="BD142" i="3" s="1"/>
  <c r="AM142" i="3"/>
  <c r="W113" i="3"/>
  <c r="AM113" i="3"/>
  <c r="AZ113" i="3"/>
  <c r="BD113" i="3" s="1"/>
  <c r="AJ113" i="3"/>
  <c r="AN113" i="3" s="1"/>
  <c r="W105" i="3"/>
  <c r="AM105" i="3"/>
  <c r="AJ105" i="3"/>
  <c r="AN105" i="3" s="1"/>
  <c r="AZ105" i="3"/>
  <c r="BD105" i="3" s="1"/>
  <c r="W80" i="3"/>
  <c r="AM80" i="3"/>
  <c r="AJ80" i="3"/>
  <c r="AN80" i="3" s="1"/>
  <c r="AZ80" i="3"/>
  <c r="BD80" i="3" s="1"/>
  <c r="W66" i="3"/>
  <c r="AM66" i="3"/>
  <c r="AJ66" i="3"/>
  <c r="AN66" i="3" s="1"/>
  <c r="AZ66" i="3"/>
  <c r="BD66" i="3" s="1"/>
  <c r="W86" i="3"/>
  <c r="AM86" i="3"/>
  <c r="AZ86" i="3"/>
  <c r="BD86" i="3" s="1"/>
  <c r="AJ86" i="3"/>
  <c r="AN86" i="3" s="1"/>
  <c r="W108" i="3"/>
  <c r="AZ108" i="3"/>
  <c r="BD108" i="3" s="1"/>
  <c r="AJ108" i="3"/>
  <c r="AN108" i="3" s="1"/>
  <c r="AM108" i="3"/>
  <c r="W139" i="3"/>
  <c r="AZ139" i="3"/>
  <c r="BD139" i="3" s="1"/>
  <c r="AJ139" i="3"/>
  <c r="AN139" i="3" s="1"/>
  <c r="AM139" i="3"/>
  <c r="W118" i="3"/>
  <c r="AM118" i="3"/>
  <c r="AZ118" i="3"/>
  <c r="BD118" i="3" s="1"/>
  <c r="AJ118" i="3"/>
  <c r="AN118" i="3" s="1"/>
  <c r="W133" i="3"/>
  <c r="AM133" i="3"/>
  <c r="AJ133" i="3"/>
  <c r="AN133" i="3" s="1"/>
  <c r="AZ133" i="3"/>
  <c r="BD133" i="3" s="1"/>
  <c r="W87" i="3"/>
  <c r="AM87" i="3"/>
  <c r="AZ87" i="3"/>
  <c r="BD87" i="3" s="1"/>
  <c r="AJ87" i="3"/>
  <c r="AN87" i="3" s="1"/>
  <c r="W63" i="3"/>
  <c r="AJ63" i="3"/>
  <c r="AN63" i="3" s="1"/>
  <c r="AZ63" i="3"/>
  <c r="BD63" i="3" s="1"/>
  <c r="AM63" i="3"/>
  <c r="W129" i="3"/>
  <c r="AZ129" i="3"/>
  <c r="BD129" i="3" s="1"/>
  <c r="AJ129" i="3"/>
  <c r="AN129" i="3" s="1"/>
  <c r="AM129" i="3"/>
  <c r="W101" i="3"/>
  <c r="AM101" i="3"/>
  <c r="AJ101" i="3"/>
  <c r="AN101" i="3" s="1"/>
  <c r="AZ101" i="3"/>
  <c r="BD101" i="3" s="1"/>
  <c r="W119" i="3"/>
  <c r="AM119" i="3"/>
  <c r="AZ119" i="3"/>
  <c r="BD119" i="3" s="1"/>
  <c r="AJ119" i="3"/>
  <c r="AN119" i="3" s="1"/>
  <c r="W103" i="3"/>
  <c r="AM103" i="3"/>
  <c r="AZ103" i="3"/>
  <c r="BD103" i="3" s="1"/>
  <c r="AJ103" i="3"/>
  <c r="AN103" i="3" s="1"/>
  <c r="W79" i="3"/>
  <c r="AJ79" i="3"/>
  <c r="AN79" i="3" s="1"/>
  <c r="AZ79" i="3"/>
  <c r="BD79" i="3" s="1"/>
  <c r="AM79" i="3"/>
  <c r="W67" i="3"/>
  <c r="AM67" i="3"/>
  <c r="AZ67" i="3"/>
  <c r="BD67" i="3" s="1"/>
  <c r="AJ67" i="3"/>
  <c r="AN67" i="3" s="1"/>
  <c r="W70" i="3"/>
  <c r="AM70" i="3"/>
  <c r="AZ70" i="3"/>
  <c r="BD70" i="3" s="1"/>
  <c r="AJ70" i="3"/>
  <c r="AN70" i="3" s="1"/>
  <c r="W117" i="3"/>
  <c r="AM117" i="3"/>
  <c r="AJ117" i="3"/>
  <c r="AN117" i="3" s="1"/>
  <c r="AZ117" i="3"/>
  <c r="BD117" i="3" s="1"/>
  <c r="W62" i="3"/>
  <c r="AZ62" i="3"/>
  <c r="BD62" i="3" s="1"/>
  <c r="AJ62" i="3"/>
  <c r="AN62" i="3" s="1"/>
  <c r="AM62" i="3"/>
  <c r="W96" i="3"/>
  <c r="AM96" i="3"/>
  <c r="AZ96" i="3"/>
  <c r="BD96" i="3" s="1"/>
  <c r="AJ96" i="3"/>
  <c r="AN96" i="3" s="1"/>
  <c r="W71" i="3"/>
  <c r="AM71" i="3"/>
  <c r="AZ71" i="3"/>
  <c r="BD71" i="3" s="1"/>
  <c r="AJ71" i="3"/>
  <c r="AN71" i="3" s="1"/>
  <c r="W93" i="3"/>
  <c r="AZ93" i="3"/>
  <c r="BD93" i="3" s="1"/>
  <c r="AJ93" i="3"/>
  <c r="AN93" i="3" s="1"/>
  <c r="AM93" i="3"/>
  <c r="W132" i="3"/>
  <c r="AZ132" i="3"/>
  <c r="BD132" i="3" s="1"/>
  <c r="AM132" i="3"/>
  <c r="AJ132" i="3"/>
  <c r="AN132" i="3" s="1"/>
  <c r="W69" i="3"/>
  <c r="AM69" i="3"/>
  <c r="AJ69" i="3"/>
  <c r="AN69" i="3" s="1"/>
  <c r="AZ69" i="3"/>
  <c r="BD69" i="3" s="1"/>
  <c r="W107" i="3"/>
  <c r="AZ107" i="3"/>
  <c r="BD107" i="3" s="1"/>
  <c r="AJ107" i="3"/>
  <c r="AN107" i="3" s="1"/>
  <c r="AM107" i="3"/>
  <c r="W97" i="3"/>
  <c r="AM97" i="3"/>
  <c r="AZ97" i="3"/>
  <c r="BD97" i="3" s="1"/>
  <c r="AJ97" i="3"/>
  <c r="AN97" i="3" s="1"/>
  <c r="W114" i="3"/>
  <c r="AZ114" i="3"/>
  <c r="BD114" i="3" s="1"/>
  <c r="AM114" i="3"/>
  <c r="AJ114" i="3"/>
  <c r="AN114" i="3" s="1"/>
  <c r="W75" i="3"/>
  <c r="AZ75" i="3"/>
  <c r="BD75" i="3" s="1"/>
  <c r="AJ75" i="3"/>
  <c r="AN75" i="3" s="1"/>
  <c r="AM75" i="3"/>
  <c r="W102" i="3"/>
  <c r="AM102" i="3"/>
  <c r="AZ102" i="3"/>
  <c r="BD102" i="3" s="1"/>
  <c r="AJ102" i="3"/>
  <c r="AN102" i="3" s="1"/>
  <c r="W88" i="3"/>
  <c r="AJ88" i="3"/>
  <c r="AN88" i="3" s="1"/>
  <c r="AM88" i="3"/>
  <c r="AZ88" i="3"/>
  <c r="BD88" i="3" s="1"/>
  <c r="W109" i="3"/>
  <c r="AZ109" i="3"/>
  <c r="BD109" i="3" s="1"/>
  <c r="AJ109" i="3"/>
  <c r="AN109" i="3" s="1"/>
  <c r="AM109" i="3"/>
  <c r="W91" i="3"/>
  <c r="AZ91" i="3"/>
  <c r="BD91" i="3" s="1"/>
  <c r="AJ91" i="3"/>
  <c r="AN91" i="3" s="1"/>
  <c r="AM91" i="3"/>
  <c r="W123" i="3"/>
  <c r="AZ123" i="3"/>
  <c r="BD123" i="3" s="1"/>
  <c r="AJ123" i="3"/>
  <c r="AN123" i="3" s="1"/>
  <c r="AM123" i="3"/>
  <c r="W95" i="3"/>
  <c r="AJ95" i="3"/>
  <c r="AN95" i="3" s="1"/>
  <c r="AZ95" i="3"/>
  <c r="BD95" i="3" s="1"/>
  <c r="AM95" i="3"/>
  <c r="BB25" i="3"/>
  <c r="AY25" i="3"/>
  <c r="BA25" i="3" s="1"/>
  <c r="AT26" i="3" s="1"/>
  <c r="W135" i="3"/>
  <c r="AM135" i="3"/>
  <c r="AZ135" i="3"/>
  <c r="BD135" i="3" s="1"/>
  <c r="AJ135" i="3"/>
  <c r="AN135" i="3" s="1"/>
  <c r="W68" i="3"/>
  <c r="AZ68" i="3"/>
  <c r="BD68" i="3" s="1"/>
  <c r="AM68" i="3"/>
  <c r="AJ68" i="3"/>
  <c r="AN68" i="3" s="1"/>
  <c r="W112" i="3"/>
  <c r="AM112" i="3"/>
  <c r="AJ112" i="3"/>
  <c r="AN112" i="3" s="1"/>
  <c r="AZ112" i="3"/>
  <c r="BD112" i="3" s="1"/>
  <c r="W125" i="3"/>
  <c r="AZ125" i="3"/>
  <c r="BD125" i="3" s="1"/>
  <c r="AJ125" i="3"/>
  <c r="AN125" i="3" s="1"/>
  <c r="AM125" i="3"/>
  <c r="W64" i="3"/>
  <c r="AM64" i="3"/>
  <c r="AJ64" i="3"/>
  <c r="AN64" i="3" s="1"/>
  <c r="AZ64" i="3"/>
  <c r="BD64" i="3" s="1"/>
  <c r="W127" i="3"/>
  <c r="AJ127" i="3"/>
  <c r="AN127" i="3" s="1"/>
  <c r="AZ127" i="3"/>
  <c r="BD127" i="3" s="1"/>
  <c r="AM127" i="3"/>
  <c r="BC24" i="3"/>
  <c r="AN22" i="3"/>
  <c r="W115" i="3"/>
  <c r="AZ115" i="3"/>
  <c r="BD115" i="3" s="1"/>
  <c r="AM115" i="3"/>
  <c r="AJ115" i="3"/>
  <c r="AN115" i="3" s="1"/>
  <c r="W120" i="3"/>
  <c r="AJ120" i="3"/>
  <c r="AN120" i="3" s="1"/>
  <c r="AM120" i="3"/>
  <c r="AZ120" i="3"/>
  <c r="BD120" i="3" s="1"/>
  <c r="W89" i="3"/>
  <c r="AJ89" i="3"/>
  <c r="AN89" i="3" s="1"/>
  <c r="AM89" i="3"/>
  <c r="AZ89" i="3"/>
  <c r="BD89" i="3" s="1"/>
  <c r="W81" i="3"/>
  <c r="AM81" i="3"/>
  <c r="AZ81" i="3"/>
  <c r="BD81" i="3" s="1"/>
  <c r="AJ81" i="3"/>
  <c r="AN81" i="3" s="1"/>
  <c r="W77" i="3"/>
  <c r="AZ77" i="3"/>
  <c r="BD77" i="3" s="1"/>
  <c r="AJ77" i="3"/>
  <c r="AN77" i="3" s="1"/>
  <c r="AM77" i="3"/>
  <c r="W121" i="3"/>
  <c r="AJ121" i="3"/>
  <c r="AN121" i="3" s="1"/>
  <c r="AM121" i="3"/>
  <c r="AZ121" i="3"/>
  <c r="BD121" i="3" s="1"/>
  <c r="W104" i="3"/>
  <c r="AJ104" i="3"/>
  <c r="AN104" i="3" s="1"/>
  <c r="AM104" i="3"/>
  <c r="AZ104" i="3"/>
  <c r="BD104" i="3" s="1"/>
  <c r="W65" i="3"/>
  <c r="AZ65" i="3"/>
  <c r="BD65" i="3" s="1"/>
  <c r="AM65" i="3"/>
  <c r="AJ65" i="3"/>
  <c r="AN65" i="3" s="1"/>
  <c r="W134" i="3"/>
  <c r="AM134" i="3"/>
  <c r="AZ134" i="3"/>
  <c r="BD134" i="3" s="1"/>
  <c r="AJ134" i="3"/>
  <c r="AN134" i="3" s="1"/>
  <c r="W141" i="3"/>
  <c r="AZ141" i="3"/>
  <c r="BD141" i="3" s="1"/>
  <c r="AJ141" i="3"/>
  <c r="AN141" i="3" s="1"/>
  <c r="AM141" i="3"/>
  <c r="W106" i="3"/>
  <c r="AZ106" i="3"/>
  <c r="BD106" i="3" s="1"/>
  <c r="AJ106" i="3"/>
  <c r="AN106" i="3" s="1"/>
  <c r="AM106" i="3"/>
  <c r="W131" i="3"/>
  <c r="AM131" i="3"/>
  <c r="AZ131" i="3"/>
  <c r="BD131" i="3" s="1"/>
  <c r="AJ131" i="3"/>
  <c r="AN131" i="3" s="1"/>
  <c r="W124" i="3"/>
  <c r="AZ124" i="3"/>
  <c r="BD124" i="3" s="1"/>
  <c r="AJ124" i="3"/>
  <c r="AN124" i="3" s="1"/>
  <c r="AM124" i="3"/>
  <c r="W138" i="3"/>
  <c r="AZ138" i="3"/>
  <c r="BD138" i="3" s="1"/>
  <c r="AM138" i="3"/>
  <c r="AJ138" i="3"/>
  <c r="AN138" i="3" s="1"/>
  <c r="W73" i="3"/>
  <c r="AJ73" i="3"/>
  <c r="AN73" i="3" s="1"/>
  <c r="AM73" i="3"/>
  <c r="AZ73" i="3"/>
  <c r="BD73" i="3" s="1"/>
  <c r="W126" i="3"/>
  <c r="AJ126" i="3"/>
  <c r="AN126" i="3" s="1"/>
  <c r="AZ126" i="3"/>
  <c r="BD126" i="3" s="1"/>
  <c r="AM126" i="3"/>
  <c r="W74" i="3"/>
  <c r="AZ74" i="3"/>
  <c r="BD74" i="3" s="1"/>
  <c r="AM74" i="3"/>
  <c r="AJ74" i="3"/>
  <c r="AN74" i="3" s="1"/>
  <c r="W140" i="3"/>
  <c r="AZ140" i="3"/>
  <c r="BD140" i="3" s="1"/>
  <c r="AJ140" i="3"/>
  <c r="AN140" i="3" s="1"/>
  <c r="AM140" i="3"/>
  <c r="W130" i="3"/>
  <c r="AM130" i="3"/>
  <c r="AZ130" i="3"/>
  <c r="BD130" i="3" s="1"/>
  <c r="AJ130" i="3"/>
  <c r="AN130" i="3" s="1"/>
  <c r="W143" i="3"/>
  <c r="AJ143" i="3"/>
  <c r="AN143" i="3" s="1"/>
  <c r="AZ143" i="3"/>
  <c r="BD143" i="3" s="1"/>
  <c r="AM143" i="3"/>
  <c r="W128" i="3"/>
  <c r="AM128" i="3"/>
  <c r="AZ128" i="3"/>
  <c r="BD128" i="3" s="1"/>
  <c r="AJ128" i="3"/>
  <c r="AN128" i="3" s="1"/>
  <c r="W85" i="3"/>
  <c r="AM85" i="3"/>
  <c r="AJ85" i="3"/>
  <c r="AN85" i="3" s="1"/>
  <c r="AZ85" i="3"/>
  <c r="BD85" i="3" s="1"/>
  <c r="W98" i="3"/>
  <c r="AJ98" i="3"/>
  <c r="AN98" i="3" s="1"/>
  <c r="AM98" i="3"/>
  <c r="AZ98" i="3"/>
  <c r="BD98" i="3" s="1"/>
  <c r="W76" i="3"/>
  <c r="AZ76" i="3"/>
  <c r="BD76" i="3" s="1"/>
  <c r="AJ76" i="3"/>
  <c r="AN76" i="3" s="1"/>
  <c r="AM76" i="3"/>
  <c r="W116" i="3"/>
  <c r="AZ116" i="3"/>
  <c r="BD116" i="3" s="1"/>
  <c r="AM116" i="3"/>
  <c r="AJ116" i="3"/>
  <c r="AN116" i="3" s="1"/>
  <c r="W90" i="3"/>
  <c r="AZ90" i="3"/>
  <c r="BD90" i="3" s="1"/>
  <c r="AJ90" i="3"/>
  <c r="AN90" i="3" s="1"/>
  <c r="AM90" i="3"/>
  <c r="W110" i="3"/>
  <c r="AZ110" i="3"/>
  <c r="BD110" i="3" s="1"/>
  <c r="AJ110" i="3"/>
  <c r="AN110" i="3" s="1"/>
  <c r="AM110" i="3"/>
  <c r="W144" i="3"/>
  <c r="AM144" i="3"/>
  <c r="AJ144" i="3"/>
  <c r="AN144" i="3" s="1"/>
  <c r="AZ144" i="3"/>
  <c r="BD144" i="3" s="1"/>
  <c r="W82" i="3"/>
  <c r="AM82" i="3"/>
  <c r="AZ82" i="3"/>
  <c r="BD82" i="3" s="1"/>
  <c r="AJ82" i="3"/>
  <c r="AN82" i="3" s="1"/>
  <c r="W92" i="3"/>
  <c r="AZ92" i="3"/>
  <c r="BD92" i="3" s="1"/>
  <c r="AJ92" i="3"/>
  <c r="AN92" i="3" s="1"/>
  <c r="AM92" i="3"/>
  <c r="W78" i="3"/>
  <c r="AJ78" i="3"/>
  <c r="AN78" i="3" s="1"/>
  <c r="AZ78" i="3"/>
  <c r="BD78" i="3" s="1"/>
  <c r="AM78" i="3"/>
  <c r="W136" i="3"/>
  <c r="AJ136" i="3"/>
  <c r="AN136" i="3" s="1"/>
  <c r="AM136" i="3"/>
  <c r="AZ136" i="3"/>
  <c r="BD136" i="3" s="1"/>
  <c r="W99" i="3"/>
  <c r="AM99" i="3"/>
  <c r="AZ99" i="3"/>
  <c r="BD99" i="3" s="1"/>
  <c r="AJ99" i="3"/>
  <c r="AN99" i="3" s="1"/>
  <c r="W122" i="3"/>
  <c r="AZ122" i="3"/>
  <c r="BD122" i="3" s="1"/>
  <c r="AJ122" i="3"/>
  <c r="AN122" i="3" s="1"/>
  <c r="AM122" i="3"/>
  <c r="AL25" i="3"/>
  <c r="AI25" i="3"/>
  <c r="AK25" i="3" s="1"/>
  <c r="AD26" i="3" s="1"/>
  <c r="O25" i="3"/>
  <c r="T25" i="3"/>
  <c r="E26" i="3"/>
  <c r="G26" i="3" s="1"/>
  <c r="C27" i="3" s="1"/>
  <c r="D27" i="3" s="1"/>
  <c r="H27" i="3" s="1"/>
  <c r="H25" i="3"/>
  <c r="AV26" i="3" l="1"/>
  <c r="AU26" i="3"/>
  <c r="AW26" i="3" s="1"/>
  <c r="AF26" i="3"/>
  <c r="AE26" i="3"/>
  <c r="AG26" i="3" s="1"/>
  <c r="AH26" i="3" s="1"/>
  <c r="Q25" i="3"/>
  <c r="R25" i="3" s="1"/>
  <c r="X25" i="3"/>
  <c r="T26" i="3"/>
  <c r="E27" i="3"/>
  <c r="G27" i="3" s="1"/>
  <c r="C28" i="3" s="1"/>
  <c r="D28" i="3" s="1"/>
  <c r="H28" i="3" s="1"/>
  <c r="AX26" i="3" l="1"/>
  <c r="BB26" i="3" s="1"/>
  <c r="AY26" i="3"/>
  <c r="BA26" i="3" s="1"/>
  <c r="AT27" i="3" s="1"/>
  <c r="AV27" i="3" s="1"/>
  <c r="AI26" i="3"/>
  <c r="AK26" i="3" s="1"/>
  <c r="AD27" i="3" s="1"/>
  <c r="AL26" i="3"/>
  <c r="AU27" i="3"/>
  <c r="AW27" i="3" s="1"/>
  <c r="S25" i="3"/>
  <c r="U25" i="3" s="1"/>
  <c r="N26" i="3" s="1"/>
  <c r="O26" i="3" s="1"/>
  <c r="Q26" i="3" s="1"/>
  <c r="V25" i="3"/>
  <c r="X26" i="3"/>
  <c r="T27" i="3"/>
  <c r="E28" i="3"/>
  <c r="G28" i="3" s="1"/>
  <c r="C29" i="3" s="1"/>
  <c r="AX27" i="3" l="1"/>
  <c r="BB27" i="3" s="1"/>
  <c r="AY27" i="3"/>
  <c r="BA27" i="3" s="1"/>
  <c r="AT28" i="3" s="1"/>
  <c r="AU28" i="3" s="1"/>
  <c r="AW28" i="3" s="1"/>
  <c r="BC25" i="3"/>
  <c r="AE27" i="3"/>
  <c r="AG27" i="3" s="1"/>
  <c r="AF27" i="3"/>
  <c r="P26" i="3"/>
  <c r="R26" i="3" s="1"/>
  <c r="X27" i="3"/>
  <c r="T28" i="3"/>
  <c r="D29" i="3"/>
  <c r="H29" i="3" s="1"/>
  <c r="AV28" i="3" l="1"/>
  <c r="AX28" i="3" s="1"/>
  <c r="AH27" i="3"/>
  <c r="V26" i="3"/>
  <c r="S26" i="3"/>
  <c r="U26" i="3" s="1"/>
  <c r="N27" i="3" s="1"/>
  <c r="P27" i="3" s="1"/>
  <c r="X28" i="3"/>
  <c r="T29" i="3"/>
  <c r="E29" i="3"/>
  <c r="G29" i="3" s="1"/>
  <c r="C30" i="3" s="1"/>
  <c r="BC26" i="3" l="1"/>
  <c r="BB28" i="3"/>
  <c r="AY28" i="3"/>
  <c r="BA28" i="3" s="1"/>
  <c r="AT29" i="3" s="1"/>
  <c r="AL27" i="3"/>
  <c r="AI27" i="3"/>
  <c r="AK27" i="3" s="1"/>
  <c r="AD28" i="3" s="1"/>
  <c r="O27" i="3"/>
  <c r="Q27" i="3" s="1"/>
  <c r="R27" i="3" s="1"/>
  <c r="V27" i="3" s="1"/>
  <c r="BC27" i="3" s="1"/>
  <c r="X29" i="3"/>
  <c r="T30" i="3"/>
  <c r="D30" i="3"/>
  <c r="H30" i="3" s="1"/>
  <c r="AF28" i="3" l="1"/>
  <c r="AE28" i="3"/>
  <c r="AG28" i="3" s="1"/>
  <c r="AH28" i="3" s="1"/>
  <c r="AL28" i="3" s="1"/>
  <c r="AI28" i="3"/>
  <c r="AK28" i="3" s="1"/>
  <c r="AD29" i="3" s="1"/>
  <c r="AV29" i="3"/>
  <c r="AU29" i="3"/>
  <c r="AW29" i="3" s="1"/>
  <c r="AX29" i="3" s="1"/>
  <c r="BB29" i="3" s="1"/>
  <c r="S27" i="3"/>
  <c r="U27" i="3" s="1"/>
  <c r="N28" i="3" s="1"/>
  <c r="P28" i="3" s="1"/>
  <c r="X30" i="3"/>
  <c r="T31" i="3"/>
  <c r="E30" i="3"/>
  <c r="G30" i="3" s="1"/>
  <c r="C31" i="3" s="1"/>
  <c r="AY29" i="3" l="1"/>
  <c r="BA29" i="3" s="1"/>
  <c r="AT30" i="3" s="1"/>
  <c r="AF29" i="3"/>
  <c r="AE29" i="3"/>
  <c r="AG29" i="3" s="1"/>
  <c r="AH29" i="3" s="1"/>
  <c r="AL29" i="3" s="1"/>
  <c r="AI29" i="3"/>
  <c r="AK29" i="3" s="1"/>
  <c r="AD30" i="3" s="1"/>
  <c r="AE30" i="3" s="1"/>
  <c r="AG30" i="3" s="1"/>
  <c r="O28" i="3"/>
  <c r="Q28" i="3" s="1"/>
  <c r="R28" i="3" s="1"/>
  <c r="V28" i="3" s="1"/>
  <c r="X31" i="3"/>
  <c r="T32" i="3"/>
  <c r="D31" i="3"/>
  <c r="H31" i="3" s="1"/>
  <c r="BC28" i="3" l="1"/>
  <c r="AV30" i="3"/>
  <c r="AU30" i="3"/>
  <c r="AW30" i="3" s="1"/>
  <c r="AX30" i="3" s="1"/>
  <c r="BB30" i="3" s="1"/>
  <c r="AF30" i="3"/>
  <c r="AH30" i="3"/>
  <c r="AL30" i="3" s="1"/>
  <c r="S28" i="3"/>
  <c r="U28" i="3" s="1"/>
  <c r="N29" i="3" s="1"/>
  <c r="P29" i="3" s="1"/>
  <c r="X32" i="3"/>
  <c r="T33" i="3"/>
  <c r="E31" i="3"/>
  <c r="G31" i="3" s="1"/>
  <c r="C32" i="3" s="1"/>
  <c r="D32" i="3" s="1"/>
  <c r="H32" i="3" s="1"/>
  <c r="AY30" i="3" l="1"/>
  <c r="BA30" i="3" s="1"/>
  <c r="AT31" i="3" s="1"/>
  <c r="AV31" i="3"/>
  <c r="AU31" i="3"/>
  <c r="AW31" i="3" s="1"/>
  <c r="AX31" i="3" s="1"/>
  <c r="BB31" i="3" s="1"/>
  <c r="AI30" i="3"/>
  <c r="AK30" i="3" s="1"/>
  <c r="AD31" i="3" s="1"/>
  <c r="O29" i="3"/>
  <c r="Q29" i="3" s="1"/>
  <c r="R29" i="3" s="1"/>
  <c r="X33" i="3"/>
  <c r="E32" i="3"/>
  <c r="G32" i="3" s="1"/>
  <c r="C33" i="3" s="1"/>
  <c r="D33" i="3" s="1"/>
  <c r="H33" i="3" s="1"/>
  <c r="T34" i="3"/>
  <c r="AY31" i="3" l="1"/>
  <c r="BA31" i="3" s="1"/>
  <c r="AT32" i="3" s="1"/>
  <c r="AV32" i="3" s="1"/>
  <c r="AE31" i="3"/>
  <c r="AG31" i="3" s="1"/>
  <c r="AF31" i="3"/>
  <c r="X34" i="3"/>
  <c r="T35" i="3"/>
  <c r="V29" i="3"/>
  <c r="S29" i="3"/>
  <c r="U29" i="3" s="1"/>
  <c r="N30" i="3" s="1"/>
  <c r="P30" i="3" s="1"/>
  <c r="E33" i="3"/>
  <c r="G33" i="3" s="1"/>
  <c r="C34" i="3" s="1"/>
  <c r="D34" i="3" s="1"/>
  <c r="AU32" i="3" l="1"/>
  <c r="AW32" i="3" s="1"/>
  <c r="AX32" i="3"/>
  <c r="BB32" i="3" s="1"/>
  <c r="BC29" i="3"/>
  <c r="AY32" i="3"/>
  <c r="BA32" i="3" s="1"/>
  <c r="AT33" i="3" s="1"/>
  <c r="AH31" i="3"/>
  <c r="AL31" i="3" s="1"/>
  <c r="X35" i="3"/>
  <c r="O30" i="3"/>
  <c r="Q30" i="3" s="1"/>
  <c r="T36" i="3"/>
  <c r="H34" i="3"/>
  <c r="E34" i="3"/>
  <c r="G34" i="3" s="1"/>
  <c r="C35" i="3" s="1"/>
  <c r="D35" i="3" s="1"/>
  <c r="H35" i="3" s="1"/>
  <c r="AU33" i="3" l="1"/>
  <c r="AW33" i="3" s="1"/>
  <c r="AV33" i="3"/>
  <c r="AI31" i="3"/>
  <c r="AK31" i="3" s="1"/>
  <c r="AD32" i="3" s="1"/>
  <c r="X36" i="3"/>
  <c r="E35" i="3"/>
  <c r="G35" i="3" s="1"/>
  <c r="C36" i="3" s="1"/>
  <c r="D36" i="3" s="1"/>
  <c r="H36" i="3" s="1"/>
  <c r="T37" i="3"/>
  <c r="R30" i="3"/>
  <c r="AX33" i="3" l="1"/>
  <c r="AF32" i="3"/>
  <c r="AE32" i="3"/>
  <c r="AG32" i="3" s="1"/>
  <c r="X37" i="3"/>
  <c r="V30" i="3"/>
  <c r="BC30" i="3" s="1"/>
  <c r="S30" i="3"/>
  <c r="U30" i="3" s="1"/>
  <c r="N31" i="3" s="1"/>
  <c r="P31" i="3" s="1"/>
  <c r="T38" i="3"/>
  <c r="E36" i="3"/>
  <c r="G36" i="3" s="1"/>
  <c r="C37" i="3" s="1"/>
  <c r="BB33" i="3" l="1"/>
  <c r="AY33" i="3"/>
  <c r="BA33" i="3" s="1"/>
  <c r="AT34" i="3" s="1"/>
  <c r="AH32" i="3"/>
  <c r="AL32" i="3" s="1"/>
  <c r="X38" i="3"/>
  <c r="T39" i="3"/>
  <c r="O31" i="3"/>
  <c r="Q31" i="3" s="1"/>
  <c r="D37" i="3"/>
  <c r="H37" i="3" s="1"/>
  <c r="E37" i="3" l="1"/>
  <c r="G37" i="3" s="1"/>
  <c r="C38" i="3" s="1"/>
  <c r="D38" i="3" s="1"/>
  <c r="H38" i="3" s="1"/>
  <c r="AV34" i="3"/>
  <c r="AU34" i="3"/>
  <c r="AW34" i="3" s="1"/>
  <c r="AX34" i="3" s="1"/>
  <c r="BB34" i="3" s="1"/>
  <c r="AY34" i="3"/>
  <c r="BA34" i="3" s="1"/>
  <c r="AT35" i="3" s="1"/>
  <c r="AI32" i="3"/>
  <c r="AK32" i="3" s="1"/>
  <c r="AD33" i="3" s="1"/>
  <c r="R31" i="3"/>
  <c r="V31" i="3" s="1"/>
  <c r="BC31" i="3" s="1"/>
  <c r="X39" i="3"/>
  <c r="T40" i="3"/>
  <c r="E38" i="3" l="1"/>
  <c r="G38" i="3" s="1"/>
  <c r="C39" i="3" s="1"/>
  <c r="D39" i="3" s="1"/>
  <c r="H39" i="3" s="1"/>
  <c r="AU35" i="3"/>
  <c r="AW35" i="3" s="1"/>
  <c r="AV35" i="3"/>
  <c r="AF33" i="3"/>
  <c r="AE33" i="3"/>
  <c r="AG33" i="3" s="1"/>
  <c r="S31" i="3"/>
  <c r="U31" i="3" s="1"/>
  <c r="N32" i="3" s="1"/>
  <c r="P32" i="3" s="1"/>
  <c r="X40" i="3"/>
  <c r="T41" i="3"/>
  <c r="AX35" i="3" l="1"/>
  <c r="AH33" i="3"/>
  <c r="AL33" i="3" s="1"/>
  <c r="O32" i="3"/>
  <c r="Q32" i="3" s="1"/>
  <c r="X41" i="3"/>
  <c r="T42" i="3"/>
  <c r="E39" i="3"/>
  <c r="G39" i="3" s="1"/>
  <c r="C40" i="3" s="1"/>
  <c r="D40" i="3" s="1"/>
  <c r="H40" i="3" s="1"/>
  <c r="BB35" i="3" l="1"/>
  <c r="AY35" i="3"/>
  <c r="BA35" i="3" s="1"/>
  <c r="AT36" i="3" s="1"/>
  <c r="AI33" i="3"/>
  <c r="AK33" i="3" s="1"/>
  <c r="AD34" i="3" s="1"/>
  <c r="R32" i="3"/>
  <c r="X42" i="3"/>
  <c r="T43" i="3"/>
  <c r="E40" i="3"/>
  <c r="G40" i="3" s="1"/>
  <c r="C41" i="3" s="1"/>
  <c r="AU36" i="3" l="1"/>
  <c r="AW36" i="3" s="1"/>
  <c r="AV36" i="3"/>
  <c r="AF34" i="3"/>
  <c r="AE34" i="3"/>
  <c r="AG34" i="3" s="1"/>
  <c r="V32" i="3"/>
  <c r="BC32" i="3" s="1"/>
  <c r="S32" i="3"/>
  <c r="U32" i="3" s="1"/>
  <c r="N33" i="3" s="1"/>
  <c r="P33" i="3" s="1"/>
  <c r="X43" i="3"/>
  <c r="T44" i="3"/>
  <c r="D41" i="3"/>
  <c r="H41" i="3" s="1"/>
  <c r="AX36" i="3" l="1"/>
  <c r="AH34" i="3"/>
  <c r="O33" i="3"/>
  <c r="Q33" i="3" s="1"/>
  <c r="R33" i="3" s="1"/>
  <c r="X44" i="3"/>
  <c r="E41" i="3"/>
  <c r="G41" i="3" s="1"/>
  <c r="C42" i="3" s="1"/>
  <c r="D42" i="3" s="1"/>
  <c r="H42" i="3" s="1"/>
  <c r="T45" i="3"/>
  <c r="BB36" i="3" l="1"/>
  <c r="AY36" i="3"/>
  <c r="BA36" i="3" s="1"/>
  <c r="AT37" i="3" s="1"/>
  <c r="AL34" i="3"/>
  <c r="AI34" i="3"/>
  <c r="V33" i="3"/>
  <c r="BC33" i="3" s="1"/>
  <c r="S33" i="3"/>
  <c r="U33" i="3" s="1"/>
  <c r="N34" i="3" s="1"/>
  <c r="P34" i="3" s="1"/>
  <c r="X45" i="3"/>
  <c r="T46" i="3"/>
  <c r="E42" i="3"/>
  <c r="G42" i="3" s="1"/>
  <c r="C43" i="3" s="1"/>
  <c r="AV37" i="3" l="1"/>
  <c r="AU37" i="3"/>
  <c r="AW37" i="3" s="1"/>
  <c r="AK34" i="3"/>
  <c r="AD35" i="3" s="1"/>
  <c r="O34" i="3"/>
  <c r="X46" i="3"/>
  <c r="T47" i="3"/>
  <c r="D43" i="3"/>
  <c r="H43" i="3" s="1"/>
  <c r="AX37" i="3" l="1"/>
  <c r="AE35" i="3"/>
  <c r="AG35" i="3" s="1"/>
  <c r="AF35" i="3"/>
  <c r="Q34" i="3"/>
  <c r="R34" i="3" s="1"/>
  <c r="X47" i="3"/>
  <c r="T48" i="3"/>
  <c r="E43" i="3"/>
  <c r="G43" i="3" s="1"/>
  <c r="C44" i="3" s="1"/>
  <c r="BB37" i="3" l="1"/>
  <c r="AY37" i="3"/>
  <c r="BA37" i="3" s="1"/>
  <c r="AT38" i="3" s="1"/>
  <c r="AH35" i="3"/>
  <c r="V34" i="3"/>
  <c r="BC34" i="3" s="1"/>
  <c r="S34" i="3"/>
  <c r="U34" i="3" s="1"/>
  <c r="N35" i="3" s="1"/>
  <c r="P35" i="3" s="1"/>
  <c r="X48" i="3"/>
  <c r="T49" i="3"/>
  <c r="D44" i="3"/>
  <c r="H44" i="3" s="1"/>
  <c r="O35" i="3" l="1"/>
  <c r="Q35" i="3" s="1"/>
  <c r="AV38" i="3"/>
  <c r="AU38" i="3"/>
  <c r="AW38" i="3" s="1"/>
  <c r="AX38" i="3" s="1"/>
  <c r="BB38" i="3" s="1"/>
  <c r="AL35" i="3"/>
  <c r="AI35" i="3"/>
  <c r="R35" i="3"/>
  <c r="V35" i="3" s="1"/>
  <c r="BC35" i="3" s="1"/>
  <c r="X49" i="3"/>
  <c r="T50" i="3"/>
  <c r="E44" i="3"/>
  <c r="G44" i="3" s="1"/>
  <c r="C45" i="3" s="1"/>
  <c r="AY38" i="3" l="1"/>
  <c r="BA38" i="3" s="1"/>
  <c r="AT39" i="3" s="1"/>
  <c r="AK35" i="3"/>
  <c r="AD36" i="3" s="1"/>
  <c r="S35" i="3"/>
  <c r="U35" i="3" s="1"/>
  <c r="N36" i="3" s="1"/>
  <c r="P36" i="3" s="1"/>
  <c r="X50" i="3"/>
  <c r="T51" i="3"/>
  <c r="D45" i="3"/>
  <c r="H45" i="3" s="1"/>
  <c r="AV39" i="3" l="1"/>
  <c r="AU39" i="3"/>
  <c r="AW39" i="3" s="1"/>
  <c r="AX39" i="3" s="1"/>
  <c r="BB39" i="3" s="1"/>
  <c r="AY39" i="3"/>
  <c r="BA39" i="3" s="1"/>
  <c r="AT40" i="3" s="1"/>
  <c r="AF36" i="3"/>
  <c r="AE36" i="3"/>
  <c r="AG36" i="3" s="1"/>
  <c r="O36" i="3"/>
  <c r="Q36" i="3" s="1"/>
  <c r="R36" i="3" s="1"/>
  <c r="S36" i="3" s="1"/>
  <c r="U36" i="3" s="1"/>
  <c r="N37" i="3" s="1"/>
  <c r="P37" i="3" s="1"/>
  <c r="X51" i="3"/>
  <c r="T52" i="3"/>
  <c r="E45" i="3"/>
  <c r="G45" i="3" s="1"/>
  <c r="C46" i="3" s="1"/>
  <c r="D46" i="3" s="1"/>
  <c r="H46" i="3" s="1"/>
  <c r="AU40" i="3" l="1"/>
  <c r="AW40" i="3" s="1"/>
  <c r="AV40" i="3"/>
  <c r="AH36" i="3"/>
  <c r="V36" i="3"/>
  <c r="BC36" i="3" s="1"/>
  <c r="O37" i="3"/>
  <c r="Q37" i="3" s="1"/>
  <c r="X52" i="3"/>
  <c r="T53" i="3"/>
  <c r="E46" i="3"/>
  <c r="G46" i="3" s="1"/>
  <c r="C47" i="3" s="1"/>
  <c r="D47" i="3" s="1"/>
  <c r="H47" i="3" s="1"/>
  <c r="AX40" i="3" l="1"/>
  <c r="AL36" i="3"/>
  <c r="AI36" i="3"/>
  <c r="R37" i="3"/>
  <c r="X53" i="3"/>
  <c r="E47" i="3"/>
  <c r="G47" i="3" s="1"/>
  <c r="C48" i="3" s="1"/>
  <c r="D48" i="3" s="1"/>
  <c r="H48" i="3" s="1"/>
  <c r="T54" i="3"/>
  <c r="BB40" i="3" l="1"/>
  <c r="AY40" i="3"/>
  <c r="BA40" i="3" s="1"/>
  <c r="AT41" i="3" s="1"/>
  <c r="AK36" i="3"/>
  <c r="AD37" i="3" s="1"/>
  <c r="V37" i="3"/>
  <c r="BC37" i="3" s="1"/>
  <c r="S37" i="3"/>
  <c r="U37" i="3" s="1"/>
  <c r="N38" i="3" s="1"/>
  <c r="P38" i="3" s="1"/>
  <c r="X54" i="3"/>
  <c r="T55" i="3"/>
  <c r="E48" i="3"/>
  <c r="G48" i="3" s="1"/>
  <c r="C49" i="3" s="1"/>
  <c r="D49" i="3" s="1"/>
  <c r="H49" i="3" s="1"/>
  <c r="AU41" i="3" l="1"/>
  <c r="AW41" i="3" s="1"/>
  <c r="AV41" i="3"/>
  <c r="AE37" i="3"/>
  <c r="AG37" i="3" s="1"/>
  <c r="AF37" i="3"/>
  <c r="O38" i="3"/>
  <c r="Q38" i="3" s="1"/>
  <c r="X55" i="3"/>
  <c r="T56" i="3"/>
  <c r="E49" i="3"/>
  <c r="G49" i="3" s="1"/>
  <c r="C50" i="3" s="1"/>
  <c r="D50" i="3" s="1"/>
  <c r="H50" i="3" s="1"/>
  <c r="AX41" i="3" l="1"/>
  <c r="AH37" i="3"/>
  <c r="R38" i="3"/>
  <c r="V38" i="3" s="1"/>
  <c r="BC38" i="3" s="1"/>
  <c r="X56" i="3"/>
  <c r="T57" i="3"/>
  <c r="E50" i="3"/>
  <c r="G50" i="3" s="1"/>
  <c r="C51" i="3" s="1"/>
  <c r="BB41" i="3" l="1"/>
  <c r="AY41" i="3"/>
  <c r="BA41" i="3" s="1"/>
  <c r="AT42" i="3" s="1"/>
  <c r="AL37" i="3"/>
  <c r="AI37" i="3"/>
  <c r="AK37" i="3" s="1"/>
  <c r="AD38" i="3" s="1"/>
  <c r="AF38" i="3" s="1"/>
  <c r="S38" i="3"/>
  <c r="U38" i="3" s="1"/>
  <c r="N39" i="3" s="1"/>
  <c r="P39" i="3" s="1"/>
  <c r="X57" i="3"/>
  <c r="T58" i="3"/>
  <c r="D51" i="3"/>
  <c r="H51" i="3" s="1"/>
  <c r="AV42" i="3" l="1"/>
  <c r="AU42" i="3"/>
  <c r="AW42" i="3" s="1"/>
  <c r="AX42" i="3" s="1"/>
  <c r="BB42" i="3" s="1"/>
  <c r="AE38" i="3"/>
  <c r="AG38" i="3" s="1"/>
  <c r="AH38" i="3" s="1"/>
  <c r="AL38" i="3" s="1"/>
  <c r="O39" i="3"/>
  <c r="Q39" i="3" s="1"/>
  <c r="R39" i="3" s="1"/>
  <c r="V39" i="3" s="1"/>
  <c r="BC39" i="3" s="1"/>
  <c r="X58" i="3"/>
  <c r="E51" i="3"/>
  <c r="G51" i="3" s="1"/>
  <c r="C52" i="3" s="1"/>
  <c r="D52" i="3" s="1"/>
  <c r="H52" i="3" s="1"/>
  <c r="T59" i="3"/>
  <c r="AY42" i="3" l="1"/>
  <c r="BA42" i="3" s="1"/>
  <c r="AT43" i="3" s="1"/>
  <c r="AV43" i="3"/>
  <c r="AU43" i="3"/>
  <c r="AW43" i="3" s="1"/>
  <c r="AX43" i="3" s="1"/>
  <c r="BB43" i="3" s="1"/>
  <c r="AI38" i="3"/>
  <c r="AK38" i="3" s="1"/>
  <c r="AD39" i="3" s="1"/>
  <c r="AE39" i="3" s="1"/>
  <c r="AG39" i="3" s="1"/>
  <c r="S39" i="3"/>
  <c r="U39" i="3" s="1"/>
  <c r="N40" i="3" s="1"/>
  <c r="P40" i="3" s="1"/>
  <c r="X59" i="3"/>
  <c r="T60" i="3"/>
  <c r="E52" i="3"/>
  <c r="G52" i="3" s="1"/>
  <c r="C53" i="3" s="1"/>
  <c r="AY43" i="3" l="1"/>
  <c r="BA43" i="3" s="1"/>
  <c r="AT44" i="3" s="1"/>
  <c r="AU44" i="3" s="1"/>
  <c r="AW44" i="3" s="1"/>
  <c r="AV44" i="3"/>
  <c r="AF39" i="3"/>
  <c r="AH39" i="3" s="1"/>
  <c r="O40" i="3"/>
  <c r="Q40" i="3" s="1"/>
  <c r="R40" i="3" s="1"/>
  <c r="X60" i="3"/>
  <c r="T61" i="3"/>
  <c r="D53" i="3"/>
  <c r="H53" i="3" s="1"/>
  <c r="AX44" i="3" l="1"/>
  <c r="AL39" i="3"/>
  <c r="AI39" i="3"/>
  <c r="S40" i="3"/>
  <c r="U40" i="3" s="1"/>
  <c r="N41" i="3" s="1"/>
  <c r="P41" i="3" s="1"/>
  <c r="V40" i="3"/>
  <c r="BC40" i="3" s="1"/>
  <c r="X61" i="3"/>
  <c r="T62" i="3"/>
  <c r="E53" i="3"/>
  <c r="G53" i="3" s="1"/>
  <c r="C54" i="3" s="1"/>
  <c r="BB44" i="3" l="1"/>
  <c r="AY44" i="3"/>
  <c r="BA44" i="3" s="1"/>
  <c r="AT45" i="3" s="1"/>
  <c r="AK39" i="3"/>
  <c r="AD40" i="3" s="1"/>
  <c r="O41" i="3"/>
  <c r="Q41" i="3" s="1"/>
  <c r="R41" i="3" s="1"/>
  <c r="X62" i="3"/>
  <c r="T63" i="3"/>
  <c r="D54" i="3"/>
  <c r="H54" i="3" s="1"/>
  <c r="AU45" i="3" l="1"/>
  <c r="AW45" i="3" s="1"/>
  <c r="AV45" i="3"/>
  <c r="AE40" i="3"/>
  <c r="AG40" i="3" s="1"/>
  <c r="AF40" i="3"/>
  <c r="V41" i="3"/>
  <c r="BC41" i="3" s="1"/>
  <c r="S41" i="3"/>
  <c r="U41" i="3" s="1"/>
  <c r="N42" i="3" s="1"/>
  <c r="P42" i="3" s="1"/>
  <c r="X63" i="3"/>
  <c r="T64" i="3"/>
  <c r="E54" i="3"/>
  <c r="G54" i="3" s="1"/>
  <c r="C55" i="3" s="1"/>
  <c r="D55" i="3" s="1"/>
  <c r="H55" i="3" s="1"/>
  <c r="AX45" i="3" l="1"/>
  <c r="AH40" i="3"/>
  <c r="O42" i="3"/>
  <c r="Q42" i="3" s="1"/>
  <c r="X64" i="3"/>
  <c r="T65" i="3"/>
  <c r="E55" i="3"/>
  <c r="G55" i="3" s="1"/>
  <c r="C56" i="3" s="1"/>
  <c r="D56" i="3" s="1"/>
  <c r="H56" i="3" s="1"/>
  <c r="BB45" i="3" l="1"/>
  <c r="AY45" i="3"/>
  <c r="BA45" i="3" s="1"/>
  <c r="AT46" i="3" s="1"/>
  <c r="AL40" i="3"/>
  <c r="AI40" i="3"/>
  <c r="R42" i="3"/>
  <c r="X65" i="3"/>
  <c r="T66" i="3"/>
  <c r="E56" i="3"/>
  <c r="G56" i="3" s="1"/>
  <c r="C57" i="3" s="1"/>
  <c r="D57" i="3" s="1"/>
  <c r="AV46" i="3" l="1"/>
  <c r="AU46" i="3"/>
  <c r="AW46" i="3" s="1"/>
  <c r="AX46" i="3" s="1"/>
  <c r="BB46" i="3" s="1"/>
  <c r="AK40" i="3"/>
  <c r="AD41" i="3" s="1"/>
  <c r="V42" i="3"/>
  <c r="BC42" i="3" s="1"/>
  <c r="S42" i="3"/>
  <c r="U42" i="3" s="1"/>
  <c r="N43" i="3" s="1"/>
  <c r="P43" i="3" s="1"/>
  <c r="X66" i="3"/>
  <c r="T67" i="3"/>
  <c r="H57" i="3"/>
  <c r="E57" i="3"/>
  <c r="G57" i="3" s="1"/>
  <c r="C58" i="3" s="1"/>
  <c r="AY46" i="3" l="1"/>
  <c r="BA46" i="3" s="1"/>
  <c r="AT47" i="3" s="1"/>
  <c r="AF41" i="3"/>
  <c r="AE41" i="3"/>
  <c r="AG41" i="3" s="1"/>
  <c r="O43" i="3"/>
  <c r="Q43" i="3" s="1"/>
  <c r="X67" i="3"/>
  <c r="T68" i="3"/>
  <c r="D58" i="3"/>
  <c r="H58" i="3" s="1"/>
  <c r="AV47" i="3" l="1"/>
  <c r="AU47" i="3"/>
  <c r="AW47" i="3" s="1"/>
  <c r="AX47" i="3" s="1"/>
  <c r="BB47" i="3" s="1"/>
  <c r="AY47" i="3"/>
  <c r="BA47" i="3" s="1"/>
  <c r="AT48" i="3" s="1"/>
  <c r="AH41" i="3"/>
  <c r="AL41" i="3" s="1"/>
  <c r="R43" i="3"/>
  <c r="X68" i="3"/>
  <c r="T69" i="3"/>
  <c r="E58" i="3"/>
  <c r="G58" i="3" s="1"/>
  <c r="C59" i="3" s="1"/>
  <c r="AV48" i="3" l="1"/>
  <c r="AU48" i="3"/>
  <c r="AW48" i="3" s="1"/>
  <c r="AX48" i="3" s="1"/>
  <c r="BB48" i="3" s="1"/>
  <c r="AY48" i="3"/>
  <c r="BA48" i="3" s="1"/>
  <c r="AT49" i="3" s="1"/>
  <c r="AI41" i="3"/>
  <c r="AK41" i="3" s="1"/>
  <c r="AD42" i="3" s="1"/>
  <c r="AF42" i="3" s="1"/>
  <c r="V43" i="3"/>
  <c r="BC43" i="3" s="1"/>
  <c r="S43" i="3"/>
  <c r="U43" i="3" s="1"/>
  <c r="N44" i="3" s="1"/>
  <c r="P44" i="3" s="1"/>
  <c r="X69" i="3"/>
  <c r="T70" i="3"/>
  <c r="D59" i="3"/>
  <c r="H59" i="3" s="1"/>
  <c r="AV49" i="3" l="1"/>
  <c r="AU49" i="3"/>
  <c r="AW49" i="3" s="1"/>
  <c r="AE42" i="3"/>
  <c r="AG42" i="3" s="1"/>
  <c r="AH42" i="3" s="1"/>
  <c r="AL42" i="3" s="1"/>
  <c r="O44" i="3"/>
  <c r="Q44" i="3" s="1"/>
  <c r="X70" i="3"/>
  <c r="T71" i="3"/>
  <c r="E59" i="3"/>
  <c r="G59" i="3" s="1"/>
  <c r="C60" i="3" s="1"/>
  <c r="D60" i="3" s="1"/>
  <c r="H60" i="3" s="1"/>
  <c r="AX49" i="3" l="1"/>
  <c r="BB49" i="3" s="1"/>
  <c r="AY49" i="3"/>
  <c r="BA49" i="3" s="1"/>
  <c r="AT50" i="3" s="1"/>
  <c r="AU50" i="3" s="1"/>
  <c r="AW50" i="3" s="1"/>
  <c r="AV50" i="3"/>
  <c r="AI42" i="3"/>
  <c r="AK42" i="3" s="1"/>
  <c r="AD43" i="3" s="1"/>
  <c r="AF43" i="3" s="1"/>
  <c r="R44" i="3"/>
  <c r="X71" i="3"/>
  <c r="T72" i="3"/>
  <c r="E60" i="3"/>
  <c r="G60" i="3" s="1"/>
  <c r="C61" i="3" s="1"/>
  <c r="D61" i="3" s="1"/>
  <c r="H61" i="3" s="1"/>
  <c r="AX50" i="3" l="1"/>
  <c r="AE43" i="3"/>
  <c r="AG43" i="3" s="1"/>
  <c r="AH43" i="3" s="1"/>
  <c r="AL43" i="3" s="1"/>
  <c r="V44" i="3"/>
  <c r="BC44" i="3" s="1"/>
  <c r="S44" i="3"/>
  <c r="U44" i="3" s="1"/>
  <c r="N45" i="3" s="1"/>
  <c r="P45" i="3" s="1"/>
  <c r="X72" i="3"/>
  <c r="T73" i="3"/>
  <c r="E61" i="3"/>
  <c r="G61" i="3" s="1"/>
  <c r="C62" i="3" s="1"/>
  <c r="BB50" i="3" l="1"/>
  <c r="AY50" i="3"/>
  <c r="BA50" i="3" s="1"/>
  <c r="AT51" i="3" s="1"/>
  <c r="AI43" i="3"/>
  <c r="AK43" i="3" s="1"/>
  <c r="AD44" i="3" s="1"/>
  <c r="AF44" i="3" s="1"/>
  <c r="O45" i="3"/>
  <c r="Q45" i="3" s="1"/>
  <c r="X73" i="3"/>
  <c r="T74" i="3"/>
  <c r="D62" i="3"/>
  <c r="H62" i="3" s="1"/>
  <c r="E62" i="3" l="1"/>
  <c r="G62" i="3" s="1"/>
  <c r="C63" i="3" s="1"/>
  <c r="AE44" i="3"/>
  <c r="AG44" i="3" s="1"/>
  <c r="AH44" i="3" s="1"/>
  <c r="AL44" i="3" s="1"/>
  <c r="AV51" i="3"/>
  <c r="AU51" i="3"/>
  <c r="AW51" i="3" s="1"/>
  <c r="AX51" i="3" s="1"/>
  <c r="BB51" i="3" s="1"/>
  <c r="R45" i="3"/>
  <c r="X74" i="3"/>
  <c r="T75" i="3"/>
  <c r="D63" i="3"/>
  <c r="H63" i="3" s="1"/>
  <c r="AI44" i="3" l="1"/>
  <c r="AK44" i="3" s="1"/>
  <c r="AD45" i="3" s="1"/>
  <c r="AY51" i="3"/>
  <c r="BA51" i="3" s="1"/>
  <c r="AT52" i="3" s="1"/>
  <c r="AU52" i="3" s="1"/>
  <c r="AW52" i="3" s="1"/>
  <c r="AX52" i="3" s="1"/>
  <c r="AV52" i="3"/>
  <c r="AF45" i="3"/>
  <c r="AE45" i="3"/>
  <c r="AG45" i="3" s="1"/>
  <c r="AH45" i="3" s="1"/>
  <c r="AL45" i="3" s="1"/>
  <c r="V45" i="3"/>
  <c r="BC45" i="3" s="1"/>
  <c r="S45" i="3"/>
  <c r="U45" i="3" s="1"/>
  <c r="N46" i="3" s="1"/>
  <c r="P46" i="3" s="1"/>
  <c r="X75" i="3"/>
  <c r="E63" i="3"/>
  <c r="G63" i="3" s="1"/>
  <c r="C64" i="3" s="1"/>
  <c r="D64" i="3" s="1"/>
  <c r="H64" i="3" s="1"/>
  <c r="T76" i="3"/>
  <c r="BB52" i="3" l="1"/>
  <c r="AY52" i="3"/>
  <c r="BA52" i="3" s="1"/>
  <c r="AT53" i="3" s="1"/>
  <c r="AU53" i="3"/>
  <c r="AW53" i="3" s="1"/>
  <c r="AV53" i="3"/>
  <c r="AI45" i="3"/>
  <c r="AK45" i="3" s="1"/>
  <c r="AD46" i="3" s="1"/>
  <c r="O46" i="3"/>
  <c r="Q46" i="3" s="1"/>
  <c r="X76" i="3"/>
  <c r="T77" i="3"/>
  <c r="E64" i="3"/>
  <c r="G64" i="3" s="1"/>
  <c r="C65" i="3" s="1"/>
  <c r="AX53" i="3" l="1"/>
  <c r="AF46" i="3"/>
  <c r="AE46" i="3"/>
  <c r="AG46" i="3" s="1"/>
  <c r="AH46" i="3" s="1"/>
  <c r="AL46" i="3" s="1"/>
  <c r="R46" i="3"/>
  <c r="V46" i="3" s="1"/>
  <c r="BC46" i="3" s="1"/>
  <c r="X77" i="3"/>
  <c r="T78" i="3"/>
  <c r="D65" i="3"/>
  <c r="H65" i="3" s="1"/>
  <c r="BB53" i="3" l="1"/>
  <c r="AY53" i="3"/>
  <c r="BA53" i="3" s="1"/>
  <c r="AT54" i="3" s="1"/>
  <c r="AI46" i="3"/>
  <c r="AK46" i="3"/>
  <c r="AD47" i="3" s="1"/>
  <c r="S46" i="3"/>
  <c r="U46" i="3" s="1"/>
  <c r="N47" i="3" s="1"/>
  <c r="P47" i="3" s="1"/>
  <c r="X78" i="3"/>
  <c r="E65" i="3"/>
  <c r="G65" i="3" s="1"/>
  <c r="C66" i="3" s="1"/>
  <c r="D66" i="3" s="1"/>
  <c r="H66" i="3" s="1"/>
  <c r="T79" i="3"/>
  <c r="AU54" i="3" l="1"/>
  <c r="AW54" i="3" s="1"/>
  <c r="AV54" i="3"/>
  <c r="AF47" i="3"/>
  <c r="AE47" i="3"/>
  <c r="AG47" i="3" s="1"/>
  <c r="AH47" i="3" s="1"/>
  <c r="AL47" i="3" s="1"/>
  <c r="AI47" i="3"/>
  <c r="O47" i="3"/>
  <c r="Q47" i="3" s="1"/>
  <c r="R47" i="3" s="1"/>
  <c r="X79" i="3"/>
  <c r="T80" i="3"/>
  <c r="E66" i="3"/>
  <c r="G66" i="3" s="1"/>
  <c r="C67" i="3" s="1"/>
  <c r="D67" i="3" s="1"/>
  <c r="H67" i="3" s="1"/>
  <c r="AX54" i="3" l="1"/>
  <c r="AK47" i="3"/>
  <c r="AD48" i="3" s="1"/>
  <c r="S47" i="3"/>
  <c r="U47" i="3" s="1"/>
  <c r="N48" i="3" s="1"/>
  <c r="P48" i="3" s="1"/>
  <c r="V47" i="3"/>
  <c r="BC47" i="3" s="1"/>
  <c r="X80" i="3"/>
  <c r="T81" i="3"/>
  <c r="E67" i="3"/>
  <c r="G67" i="3" s="1"/>
  <c r="C68" i="3" s="1"/>
  <c r="D68" i="3" s="1"/>
  <c r="H68" i="3" s="1"/>
  <c r="BB54" i="3" l="1"/>
  <c r="AY54" i="3"/>
  <c r="BA54" i="3" s="1"/>
  <c r="AT55" i="3" s="1"/>
  <c r="AE48" i="3"/>
  <c r="AG48" i="3" s="1"/>
  <c r="AF48" i="3"/>
  <c r="O48" i="3"/>
  <c r="Q48" i="3" s="1"/>
  <c r="X81" i="3"/>
  <c r="T82" i="3"/>
  <c r="E68" i="3"/>
  <c r="G68" i="3" s="1"/>
  <c r="C69" i="3" s="1"/>
  <c r="D69" i="3" s="1"/>
  <c r="H69" i="3" s="1"/>
  <c r="AV55" i="3" l="1"/>
  <c r="AU55" i="3"/>
  <c r="AW55" i="3" s="1"/>
  <c r="AX55" i="3" s="1"/>
  <c r="BB55" i="3" s="1"/>
  <c r="AY55" i="3"/>
  <c r="BA55" i="3" s="1"/>
  <c r="AT56" i="3" s="1"/>
  <c r="AH48" i="3"/>
  <c r="R48" i="3"/>
  <c r="X82" i="3"/>
  <c r="T83" i="3"/>
  <c r="E69" i="3"/>
  <c r="G69" i="3" s="1"/>
  <c r="C70" i="3" s="1"/>
  <c r="D70" i="3" s="1"/>
  <c r="H70" i="3" s="1"/>
  <c r="AU56" i="3" l="1"/>
  <c r="AW56" i="3" s="1"/>
  <c r="AV56" i="3"/>
  <c r="AL48" i="3"/>
  <c r="AI48" i="3"/>
  <c r="V48" i="3"/>
  <c r="BC48" i="3" s="1"/>
  <c r="S48" i="3"/>
  <c r="U48" i="3" s="1"/>
  <c r="N49" i="3" s="1"/>
  <c r="P49" i="3" s="1"/>
  <c r="X83" i="3"/>
  <c r="T84" i="3"/>
  <c r="E70" i="3"/>
  <c r="G70" i="3" s="1"/>
  <c r="C71" i="3" s="1"/>
  <c r="D71" i="3" s="1"/>
  <c r="H71" i="3" s="1"/>
  <c r="AX56" i="3" l="1"/>
  <c r="AK48" i="3"/>
  <c r="AD49" i="3" s="1"/>
  <c r="O49" i="3"/>
  <c r="Q49" i="3" s="1"/>
  <c r="X84" i="3"/>
  <c r="T85" i="3"/>
  <c r="E71" i="3"/>
  <c r="G71" i="3" s="1"/>
  <c r="C72" i="3" s="1"/>
  <c r="D72" i="3" s="1"/>
  <c r="H72" i="3" s="1"/>
  <c r="BB56" i="3" l="1"/>
  <c r="AY56" i="3"/>
  <c r="BA56" i="3" s="1"/>
  <c r="AT57" i="3" s="1"/>
  <c r="AF49" i="3"/>
  <c r="AE49" i="3"/>
  <c r="AG49" i="3" s="1"/>
  <c r="AH49" i="3" s="1"/>
  <c r="AL49" i="3" s="1"/>
  <c r="R49" i="3"/>
  <c r="V49" i="3" s="1"/>
  <c r="BC49" i="3" s="1"/>
  <c r="X85" i="3"/>
  <c r="E72" i="3"/>
  <c r="G72" i="3" s="1"/>
  <c r="C73" i="3" s="1"/>
  <c r="D73" i="3" s="1"/>
  <c r="H73" i="3" s="1"/>
  <c r="T86" i="3"/>
  <c r="AI49" i="3" l="1"/>
  <c r="AU57" i="3"/>
  <c r="AW57" i="3" s="1"/>
  <c r="AV57" i="3"/>
  <c r="AK49" i="3"/>
  <c r="AD50" i="3" s="1"/>
  <c r="S49" i="3"/>
  <c r="U49" i="3" s="1"/>
  <c r="N50" i="3" s="1"/>
  <c r="P50" i="3" s="1"/>
  <c r="X86" i="3"/>
  <c r="T87" i="3"/>
  <c r="E73" i="3"/>
  <c r="G73" i="3" s="1"/>
  <c r="C74" i="3" s="1"/>
  <c r="D74" i="3" s="1"/>
  <c r="H74" i="3" s="1"/>
  <c r="AX57" i="3" l="1"/>
  <c r="AE50" i="3"/>
  <c r="AG50" i="3" s="1"/>
  <c r="AF50" i="3"/>
  <c r="O50" i="3"/>
  <c r="X87" i="3"/>
  <c r="T88" i="3"/>
  <c r="E74" i="3"/>
  <c r="G74" i="3" s="1"/>
  <c r="C75" i="3" s="1"/>
  <c r="D75" i="3" s="1"/>
  <c r="BB57" i="3" l="1"/>
  <c r="AY57" i="3"/>
  <c r="BA57" i="3" s="1"/>
  <c r="AT58" i="3" s="1"/>
  <c r="AH50" i="3"/>
  <c r="Q50" i="3"/>
  <c r="R50" i="3" s="1"/>
  <c r="X88" i="3"/>
  <c r="T89" i="3"/>
  <c r="H75" i="3"/>
  <c r="E75" i="3"/>
  <c r="G75" i="3" s="1"/>
  <c r="C76" i="3" s="1"/>
  <c r="D76" i="3" s="1"/>
  <c r="H76" i="3" s="1"/>
  <c r="AV58" i="3" l="1"/>
  <c r="AU58" i="3"/>
  <c r="AW58" i="3" s="1"/>
  <c r="AX58" i="3" s="1"/>
  <c r="BB58" i="3" s="1"/>
  <c r="AY58" i="3"/>
  <c r="BA58" i="3" s="1"/>
  <c r="AT59" i="3" s="1"/>
  <c r="AL50" i="3"/>
  <c r="AI50" i="3"/>
  <c r="V50" i="3"/>
  <c r="BC50" i="3" s="1"/>
  <c r="S50" i="3"/>
  <c r="U50" i="3" s="1"/>
  <c r="N51" i="3" s="1"/>
  <c r="P51" i="3" s="1"/>
  <c r="X89" i="3"/>
  <c r="T90" i="3"/>
  <c r="E76" i="3"/>
  <c r="G76" i="3" s="1"/>
  <c r="C77" i="3" s="1"/>
  <c r="D77" i="3" s="1"/>
  <c r="H77" i="3" s="1"/>
  <c r="AU59" i="3" l="1"/>
  <c r="AW59" i="3" s="1"/>
  <c r="AV59" i="3"/>
  <c r="AK50" i="3"/>
  <c r="AD51" i="3" s="1"/>
  <c r="O51" i="3"/>
  <c r="Q51" i="3" s="1"/>
  <c r="R51" i="3" s="1"/>
  <c r="X90" i="3"/>
  <c r="T91" i="3"/>
  <c r="E77" i="3"/>
  <c r="G77" i="3" s="1"/>
  <c r="C78" i="3" s="1"/>
  <c r="AX59" i="3" l="1"/>
  <c r="AE51" i="3"/>
  <c r="AG51" i="3" s="1"/>
  <c r="AF51" i="3"/>
  <c r="V51" i="3"/>
  <c r="BC51" i="3" s="1"/>
  <c r="S51" i="3"/>
  <c r="U51" i="3" s="1"/>
  <c r="N52" i="3" s="1"/>
  <c r="P52" i="3" s="1"/>
  <c r="X91" i="3"/>
  <c r="T92" i="3"/>
  <c r="D78" i="3"/>
  <c r="H78" i="3" s="1"/>
  <c r="BB59" i="3" l="1"/>
  <c r="AY59" i="3"/>
  <c r="BA59" i="3" s="1"/>
  <c r="AT60" i="3" s="1"/>
  <c r="AH51" i="3"/>
  <c r="O52" i="3"/>
  <c r="Q52" i="3" s="1"/>
  <c r="X92" i="3"/>
  <c r="E78" i="3"/>
  <c r="G78" i="3" s="1"/>
  <c r="C79" i="3" s="1"/>
  <c r="D79" i="3" s="1"/>
  <c r="H79" i="3" s="1"/>
  <c r="T93" i="3"/>
  <c r="AU60" i="3" l="1"/>
  <c r="AW60" i="3" s="1"/>
  <c r="AV60" i="3"/>
  <c r="AL51" i="3"/>
  <c r="AI51" i="3"/>
  <c r="R52" i="3"/>
  <c r="X93" i="3"/>
  <c r="E79" i="3"/>
  <c r="G79" i="3" s="1"/>
  <c r="C80" i="3" s="1"/>
  <c r="D80" i="3" s="1"/>
  <c r="H80" i="3" s="1"/>
  <c r="T94" i="3"/>
  <c r="AX60" i="3" l="1"/>
  <c r="AK51" i="3"/>
  <c r="AD52" i="3" s="1"/>
  <c r="V52" i="3"/>
  <c r="BC52" i="3" s="1"/>
  <c r="S52" i="3"/>
  <c r="U52" i="3" s="1"/>
  <c r="N53" i="3" s="1"/>
  <c r="P53" i="3" s="1"/>
  <c r="X94" i="3"/>
  <c r="T95" i="3"/>
  <c r="E80" i="3"/>
  <c r="G80" i="3" s="1"/>
  <c r="C81" i="3" s="1"/>
  <c r="D81" i="3" s="1"/>
  <c r="BB60" i="3" l="1"/>
  <c r="AY60" i="3"/>
  <c r="BA60" i="3" s="1"/>
  <c r="AT61" i="3" s="1"/>
  <c r="AF52" i="3"/>
  <c r="AE52" i="3"/>
  <c r="AG52" i="3" s="1"/>
  <c r="AH52" i="3" s="1"/>
  <c r="AL52" i="3" s="1"/>
  <c r="O53" i="3"/>
  <c r="Q53" i="3" s="1"/>
  <c r="X95" i="3"/>
  <c r="T96" i="3"/>
  <c r="H81" i="3"/>
  <c r="E81" i="3"/>
  <c r="G81" i="3" s="1"/>
  <c r="C82" i="3" s="1"/>
  <c r="D82" i="3" s="1"/>
  <c r="H82" i="3" s="1"/>
  <c r="AV61" i="3" l="1"/>
  <c r="AU61" i="3"/>
  <c r="AW61" i="3" s="1"/>
  <c r="AX61" i="3" s="1"/>
  <c r="BB61" i="3" s="1"/>
  <c r="AI52" i="3"/>
  <c r="AK52" i="3" s="1"/>
  <c r="AD53" i="3" s="1"/>
  <c r="R53" i="3"/>
  <c r="X96" i="3"/>
  <c r="T97" i="3"/>
  <c r="E82" i="3"/>
  <c r="G82" i="3" s="1"/>
  <c r="C83" i="3" s="1"/>
  <c r="D83" i="3" s="1"/>
  <c r="H83" i="3" s="1"/>
  <c r="AY61" i="3" l="1"/>
  <c r="BA61" i="3" s="1"/>
  <c r="AT62" i="3" s="1"/>
  <c r="AV62" i="3"/>
  <c r="AU62" i="3"/>
  <c r="AW62" i="3" s="1"/>
  <c r="AE53" i="3"/>
  <c r="AG53" i="3" s="1"/>
  <c r="AF53" i="3"/>
  <c r="V53" i="3"/>
  <c r="BC53" i="3" s="1"/>
  <c r="S53" i="3"/>
  <c r="U53" i="3" s="1"/>
  <c r="N54" i="3" s="1"/>
  <c r="P54" i="3" s="1"/>
  <c r="X97" i="3"/>
  <c r="E83" i="3"/>
  <c r="G83" i="3" s="1"/>
  <c r="C84" i="3" s="1"/>
  <c r="D84" i="3" s="1"/>
  <c r="H84" i="3" s="1"/>
  <c r="T98" i="3"/>
  <c r="AX62" i="3" l="1"/>
  <c r="AH53" i="3"/>
  <c r="O54" i="3"/>
  <c r="Q54" i="3" s="1"/>
  <c r="X98" i="3"/>
  <c r="T99" i="3"/>
  <c r="E84" i="3"/>
  <c r="G84" i="3" s="1"/>
  <c r="C85" i="3" s="1"/>
  <c r="BB62" i="3" l="1"/>
  <c r="AY62" i="3"/>
  <c r="BA62" i="3" s="1"/>
  <c r="AT63" i="3" s="1"/>
  <c r="AL53" i="3"/>
  <c r="AI53" i="3"/>
  <c r="R54" i="3"/>
  <c r="X99" i="3"/>
  <c r="T100" i="3"/>
  <c r="D85" i="3"/>
  <c r="H85" i="3" s="1"/>
  <c r="AV63" i="3" l="1"/>
  <c r="AU63" i="3"/>
  <c r="AW63" i="3" s="1"/>
  <c r="AX63" i="3" s="1"/>
  <c r="BB63" i="3" s="1"/>
  <c r="AY63" i="3"/>
  <c r="BA63" i="3" s="1"/>
  <c r="AT64" i="3" s="1"/>
  <c r="AK53" i="3"/>
  <c r="AD54" i="3" s="1"/>
  <c r="S54" i="3"/>
  <c r="U54" i="3" s="1"/>
  <c r="N55" i="3" s="1"/>
  <c r="P55" i="3" s="1"/>
  <c r="V54" i="3"/>
  <c r="BC54" i="3" s="1"/>
  <c r="X100" i="3"/>
  <c r="E85" i="3"/>
  <c r="G85" i="3" s="1"/>
  <c r="C86" i="3" s="1"/>
  <c r="D86" i="3" s="1"/>
  <c r="H86" i="3" s="1"/>
  <c r="T101" i="3"/>
  <c r="AV64" i="3" l="1"/>
  <c r="AU64" i="3"/>
  <c r="AW64" i="3" s="1"/>
  <c r="AX64" i="3" s="1"/>
  <c r="BB64" i="3" s="1"/>
  <c r="AF54" i="3"/>
  <c r="AE54" i="3"/>
  <c r="AG54" i="3" s="1"/>
  <c r="AH54" i="3" s="1"/>
  <c r="AL54" i="3" s="1"/>
  <c r="O55" i="3"/>
  <c r="X101" i="3"/>
  <c r="T102" i="3"/>
  <c r="E86" i="3"/>
  <c r="G86" i="3" s="1"/>
  <c r="C87" i="3" s="1"/>
  <c r="AY64" i="3" l="1"/>
  <c r="BA64" i="3" s="1"/>
  <c r="AT65" i="3" s="1"/>
  <c r="AI54" i="3"/>
  <c r="AK54" i="3"/>
  <c r="AD55" i="3" s="1"/>
  <c r="Q55" i="3"/>
  <c r="R55" i="3" s="1"/>
  <c r="X102" i="3"/>
  <c r="T103" i="3"/>
  <c r="D87" i="3"/>
  <c r="H87" i="3" s="1"/>
  <c r="AU65" i="3" l="1"/>
  <c r="AW65" i="3" s="1"/>
  <c r="AV65" i="3"/>
  <c r="AF55" i="3"/>
  <c r="AE55" i="3"/>
  <c r="AG55" i="3" s="1"/>
  <c r="V55" i="3"/>
  <c r="BC55" i="3" s="1"/>
  <c r="S55" i="3"/>
  <c r="U55" i="3" s="1"/>
  <c r="N56" i="3" s="1"/>
  <c r="P56" i="3" s="1"/>
  <c r="X103" i="3"/>
  <c r="T104" i="3"/>
  <c r="E87" i="3"/>
  <c r="G87" i="3" s="1"/>
  <c r="C88" i="3" s="1"/>
  <c r="D88" i="3" s="1"/>
  <c r="H88" i="3" s="1"/>
  <c r="AX65" i="3" l="1"/>
  <c r="O56" i="3"/>
  <c r="Q56" i="3" s="1"/>
  <c r="AH55" i="3"/>
  <c r="AL55" i="3" s="1"/>
  <c r="AI55" i="3"/>
  <c r="AK55" i="3" s="1"/>
  <c r="AD56" i="3" s="1"/>
  <c r="R56" i="3"/>
  <c r="V56" i="3" s="1"/>
  <c r="BC56" i="3" s="1"/>
  <c r="X104" i="3"/>
  <c r="T105" i="3"/>
  <c r="E88" i="3"/>
  <c r="G88" i="3" s="1"/>
  <c r="C89" i="3" s="1"/>
  <c r="BB65" i="3" l="1"/>
  <c r="AY65" i="3"/>
  <c r="BA65" i="3" s="1"/>
  <c r="AT66" i="3" s="1"/>
  <c r="AF56" i="3"/>
  <c r="AE56" i="3"/>
  <c r="AG56" i="3" s="1"/>
  <c r="AH56" i="3" s="1"/>
  <c r="AL56" i="3" s="1"/>
  <c r="S56" i="3"/>
  <c r="U56" i="3" s="1"/>
  <c r="N57" i="3" s="1"/>
  <c r="P57" i="3" s="1"/>
  <c r="X105" i="3"/>
  <c r="T106" i="3"/>
  <c r="D89" i="3"/>
  <c r="H89" i="3" s="1"/>
  <c r="AV66" i="3" l="1"/>
  <c r="AU66" i="3"/>
  <c r="AW66" i="3" s="1"/>
  <c r="AX66" i="3" s="1"/>
  <c r="O57" i="3"/>
  <c r="Q57" i="3" s="1"/>
  <c r="R57" i="3" s="1"/>
  <c r="AI56" i="3"/>
  <c r="AK56" i="3"/>
  <c r="AD57" i="3" s="1"/>
  <c r="V57" i="3"/>
  <c r="BC57" i="3" s="1"/>
  <c r="S57" i="3"/>
  <c r="U57" i="3" s="1"/>
  <c r="N58" i="3" s="1"/>
  <c r="P58" i="3" s="1"/>
  <c r="X106" i="3"/>
  <c r="T107" i="3"/>
  <c r="E89" i="3"/>
  <c r="G89" i="3" s="1"/>
  <c r="C90" i="3" s="1"/>
  <c r="BB66" i="3" l="1"/>
  <c r="AY66" i="3"/>
  <c r="BA66" i="3" s="1"/>
  <c r="AT67" i="3" s="1"/>
  <c r="AF57" i="3"/>
  <c r="AE57" i="3"/>
  <c r="AG57" i="3" s="1"/>
  <c r="AH57" i="3" s="1"/>
  <c r="AL57" i="3" s="1"/>
  <c r="O58" i="3"/>
  <c r="X107" i="3"/>
  <c r="T108" i="3"/>
  <c r="D90" i="3"/>
  <c r="H90" i="3" s="1"/>
  <c r="AV67" i="3" l="1"/>
  <c r="AU67" i="3"/>
  <c r="AW67" i="3" s="1"/>
  <c r="AX67" i="3" s="1"/>
  <c r="BB67" i="3" s="1"/>
  <c r="AY67" i="3"/>
  <c r="BA67" i="3" s="1"/>
  <c r="AT68" i="3" s="1"/>
  <c r="AI57" i="3"/>
  <c r="AK57" i="3" s="1"/>
  <c r="AD58" i="3" s="1"/>
  <c r="Q58" i="3"/>
  <c r="R58" i="3" s="1"/>
  <c r="X108" i="3"/>
  <c r="T109" i="3"/>
  <c r="E90" i="3"/>
  <c r="G90" i="3" s="1"/>
  <c r="C91" i="3" s="1"/>
  <c r="D91" i="3" s="1"/>
  <c r="H91" i="3" s="1"/>
  <c r="AV68" i="3" l="1"/>
  <c r="AU68" i="3"/>
  <c r="AW68" i="3" s="1"/>
  <c r="AX68" i="3" s="1"/>
  <c r="BB68" i="3" s="1"/>
  <c r="AF58" i="3"/>
  <c r="AE58" i="3"/>
  <c r="AG58" i="3" s="1"/>
  <c r="V58" i="3"/>
  <c r="BC58" i="3" s="1"/>
  <c r="S58" i="3"/>
  <c r="U58" i="3" s="1"/>
  <c r="N59" i="3" s="1"/>
  <c r="P59" i="3" s="1"/>
  <c r="E91" i="3"/>
  <c r="G91" i="3" s="1"/>
  <c r="C92" i="3" s="1"/>
  <c r="D92" i="3" s="1"/>
  <c r="H92" i="3" s="1"/>
  <c r="X109" i="3"/>
  <c r="T110" i="3"/>
  <c r="AY68" i="3" l="1"/>
  <c r="BA68" i="3" s="1"/>
  <c r="AT69" i="3" s="1"/>
  <c r="AH58" i="3"/>
  <c r="AL58" i="3" s="1"/>
  <c r="O59" i="3"/>
  <c r="Q59" i="3" s="1"/>
  <c r="R59" i="3" s="1"/>
  <c r="V59" i="3" s="1"/>
  <c r="BC59" i="3" s="1"/>
  <c r="X110" i="3"/>
  <c r="T111" i="3"/>
  <c r="E92" i="3"/>
  <c r="G92" i="3" s="1"/>
  <c r="C93" i="3" s="1"/>
  <c r="D93" i="3" s="1"/>
  <c r="AV69" i="3" l="1"/>
  <c r="AU69" i="3"/>
  <c r="AW69" i="3" s="1"/>
  <c r="AX69" i="3" s="1"/>
  <c r="AI58" i="3"/>
  <c r="AK58" i="3" s="1"/>
  <c r="AD59" i="3" s="1"/>
  <c r="S59" i="3"/>
  <c r="U59" i="3" s="1"/>
  <c r="N60" i="3" s="1"/>
  <c r="P60" i="3" s="1"/>
  <c r="AE59" i="3"/>
  <c r="AG59" i="3" s="1"/>
  <c r="AF59" i="3"/>
  <c r="O60" i="3"/>
  <c r="Q60" i="3" s="1"/>
  <c r="X111" i="3"/>
  <c r="T112" i="3"/>
  <c r="H93" i="3"/>
  <c r="E93" i="3"/>
  <c r="G93" i="3" s="1"/>
  <c r="C94" i="3" s="1"/>
  <c r="D94" i="3" s="1"/>
  <c r="H94" i="3" s="1"/>
  <c r="AY69" i="3" l="1"/>
  <c r="BA69" i="3" s="1"/>
  <c r="AT70" i="3" s="1"/>
  <c r="BB69" i="3"/>
  <c r="AH59" i="3"/>
  <c r="R60" i="3"/>
  <c r="X112" i="3"/>
  <c r="T113" i="3"/>
  <c r="E94" i="3"/>
  <c r="G94" i="3" s="1"/>
  <c r="C95" i="3" s="1"/>
  <c r="AU70" i="3" l="1"/>
  <c r="AW70" i="3" s="1"/>
  <c r="AV70" i="3"/>
  <c r="AL59" i="3"/>
  <c r="AI59" i="3"/>
  <c r="V60" i="3"/>
  <c r="BC60" i="3" s="1"/>
  <c r="S60" i="3"/>
  <c r="U60" i="3" s="1"/>
  <c r="N61" i="3" s="1"/>
  <c r="P61" i="3" s="1"/>
  <c r="X113" i="3"/>
  <c r="T114" i="3"/>
  <c r="D95" i="3"/>
  <c r="H95" i="3" s="1"/>
  <c r="AX70" i="3" l="1"/>
  <c r="AK59" i="3"/>
  <c r="AD60" i="3" s="1"/>
  <c r="O61" i="3"/>
  <c r="E95" i="3"/>
  <c r="G95" i="3" s="1"/>
  <c r="C96" i="3" s="1"/>
  <c r="D96" i="3" s="1"/>
  <c r="H96" i="3" s="1"/>
  <c r="X114" i="3"/>
  <c r="T115" i="3"/>
  <c r="BB70" i="3" l="1"/>
  <c r="AY70" i="3"/>
  <c r="BA70" i="3" s="1"/>
  <c r="AT71" i="3" s="1"/>
  <c r="AE60" i="3"/>
  <c r="AG60" i="3" s="1"/>
  <c r="AF60" i="3"/>
  <c r="Q61" i="3"/>
  <c r="R61" i="3" s="1"/>
  <c r="X115" i="3"/>
  <c r="T116" i="3"/>
  <c r="E96" i="3"/>
  <c r="G96" i="3" s="1"/>
  <c r="C97" i="3" s="1"/>
  <c r="AU71" i="3" l="1"/>
  <c r="AW71" i="3" s="1"/>
  <c r="AV71" i="3"/>
  <c r="AH60" i="3"/>
  <c r="AL60" i="3" s="1"/>
  <c r="AI60" i="3"/>
  <c r="V61" i="3"/>
  <c r="BC61" i="3" s="1"/>
  <c r="S61" i="3"/>
  <c r="U61" i="3" s="1"/>
  <c r="N62" i="3" s="1"/>
  <c r="X116" i="3"/>
  <c r="T117" i="3"/>
  <c r="D97" i="3"/>
  <c r="H97" i="3" s="1"/>
  <c r="AX71" i="3" l="1"/>
  <c r="AK60" i="3"/>
  <c r="AD61" i="3" s="1"/>
  <c r="O62" i="3"/>
  <c r="Q62" i="3" s="1"/>
  <c r="P62" i="3"/>
  <c r="X117" i="3"/>
  <c r="T118" i="3"/>
  <c r="E97" i="3"/>
  <c r="G97" i="3" s="1"/>
  <c r="C98" i="3" s="1"/>
  <c r="D98" i="3" s="1"/>
  <c r="H98" i="3" s="1"/>
  <c r="BB71" i="3" l="1"/>
  <c r="AY71" i="3"/>
  <c r="BA71" i="3" s="1"/>
  <c r="AT72" i="3" s="1"/>
  <c r="AF61" i="3"/>
  <c r="AE61" i="3"/>
  <c r="AG61" i="3" s="1"/>
  <c r="AH61" i="3" s="1"/>
  <c r="AL61" i="3" s="1"/>
  <c r="R62" i="3"/>
  <c r="V62" i="3" s="1"/>
  <c r="BC62" i="3" s="1"/>
  <c r="X118" i="3"/>
  <c r="T119" i="3"/>
  <c r="E98" i="3"/>
  <c r="G98" i="3" s="1"/>
  <c r="C99" i="3" s="1"/>
  <c r="AU72" i="3" l="1"/>
  <c r="AW72" i="3" s="1"/>
  <c r="AV72" i="3"/>
  <c r="S62" i="3"/>
  <c r="U62" i="3" s="1"/>
  <c r="N63" i="3" s="1"/>
  <c r="P63" i="3" s="1"/>
  <c r="AI61" i="3"/>
  <c r="AK61" i="3" s="1"/>
  <c r="AD62" i="3" s="1"/>
  <c r="X119" i="3"/>
  <c r="T120" i="3"/>
  <c r="D99" i="3"/>
  <c r="H99" i="3" s="1"/>
  <c r="AX72" i="3" l="1"/>
  <c r="O63" i="3"/>
  <c r="Q63" i="3" s="1"/>
  <c r="R63" i="3" s="1"/>
  <c r="AE62" i="3"/>
  <c r="AG62" i="3" s="1"/>
  <c r="AF62" i="3"/>
  <c r="V63" i="3"/>
  <c r="BC63" i="3" s="1"/>
  <c r="S63" i="3"/>
  <c r="U63" i="3" s="1"/>
  <c r="N64" i="3" s="1"/>
  <c r="X120" i="3"/>
  <c r="T121" i="3"/>
  <c r="E99" i="3"/>
  <c r="G99" i="3" s="1"/>
  <c r="C100" i="3" s="1"/>
  <c r="BB72" i="3" l="1"/>
  <c r="AY72" i="3"/>
  <c r="BA72" i="3" s="1"/>
  <c r="AT73" i="3" s="1"/>
  <c r="AH62" i="3"/>
  <c r="AL62" i="3" s="1"/>
  <c r="AI62" i="3"/>
  <c r="P64" i="3"/>
  <c r="O64" i="3"/>
  <c r="Q64" i="3" s="1"/>
  <c r="X121" i="3"/>
  <c r="T122" i="3"/>
  <c r="D100" i="3"/>
  <c r="H100" i="3" s="1"/>
  <c r="AV73" i="3" l="1"/>
  <c r="AU73" i="3"/>
  <c r="AW73" i="3" s="1"/>
  <c r="AK62" i="3"/>
  <c r="AD63" i="3" s="1"/>
  <c r="R64" i="3"/>
  <c r="X122" i="3"/>
  <c r="T123" i="3"/>
  <c r="E100" i="3"/>
  <c r="G100" i="3" s="1"/>
  <c r="C101" i="3" s="1"/>
  <c r="D101" i="3" s="1"/>
  <c r="AX73" i="3" l="1"/>
  <c r="AE63" i="3"/>
  <c r="AG63" i="3" s="1"/>
  <c r="AF63" i="3"/>
  <c r="V64" i="3"/>
  <c r="BC64" i="3" s="1"/>
  <c r="S64" i="3"/>
  <c r="U64" i="3" s="1"/>
  <c r="N65" i="3" s="1"/>
  <c r="X123" i="3"/>
  <c r="T124" i="3"/>
  <c r="H101" i="3"/>
  <c r="E101" i="3"/>
  <c r="G101" i="3" s="1"/>
  <c r="C102" i="3" s="1"/>
  <c r="D102" i="3" s="1"/>
  <c r="H102" i="3" s="1"/>
  <c r="BB73" i="3" l="1"/>
  <c r="AY73" i="3"/>
  <c r="BA73" i="3" s="1"/>
  <c r="AT74" i="3" s="1"/>
  <c r="AH63" i="3"/>
  <c r="P65" i="3"/>
  <c r="O65" i="3"/>
  <c r="Q65" i="3" s="1"/>
  <c r="R65" i="3" s="1"/>
  <c r="V65" i="3" s="1"/>
  <c r="BC65" i="3" s="1"/>
  <c r="X124" i="3"/>
  <c r="T125" i="3"/>
  <c r="E102" i="3"/>
  <c r="G102" i="3" s="1"/>
  <c r="C103" i="3" s="1"/>
  <c r="D103" i="3" s="1"/>
  <c r="H103" i="3" s="1"/>
  <c r="AV74" i="3" l="1"/>
  <c r="AU74" i="3"/>
  <c r="AW74" i="3" s="1"/>
  <c r="AX74" i="3" s="1"/>
  <c r="BB74" i="3" s="1"/>
  <c r="AY74" i="3"/>
  <c r="BA74" i="3" s="1"/>
  <c r="AT75" i="3" s="1"/>
  <c r="AL63" i="3"/>
  <c r="AI63" i="3"/>
  <c r="S65" i="3"/>
  <c r="U65" i="3" s="1"/>
  <c r="N66" i="3" s="1"/>
  <c r="P66" i="3" s="1"/>
  <c r="X125" i="3"/>
  <c r="T126" i="3"/>
  <c r="E103" i="3"/>
  <c r="G103" i="3" s="1"/>
  <c r="C104" i="3" s="1"/>
  <c r="AV75" i="3" l="1"/>
  <c r="AU75" i="3"/>
  <c r="AW75" i="3" s="1"/>
  <c r="AX75" i="3" s="1"/>
  <c r="BB75" i="3" s="1"/>
  <c r="AY75" i="3"/>
  <c r="BA75" i="3" s="1"/>
  <c r="AT76" i="3" s="1"/>
  <c r="AK63" i="3"/>
  <c r="AD64" i="3" s="1"/>
  <c r="O66" i="3"/>
  <c r="Q66" i="3" s="1"/>
  <c r="R66" i="3" s="1"/>
  <c r="X126" i="3"/>
  <c r="T127" i="3"/>
  <c r="D104" i="3"/>
  <c r="H104" i="3" s="1"/>
  <c r="AV76" i="3" l="1"/>
  <c r="AU76" i="3"/>
  <c r="AW76" i="3" s="1"/>
  <c r="AX76" i="3" s="1"/>
  <c r="AF64" i="3"/>
  <c r="AE64" i="3"/>
  <c r="AG64" i="3" s="1"/>
  <c r="AH64" i="3" s="1"/>
  <c r="AL64" i="3" s="1"/>
  <c r="X127" i="3"/>
  <c r="T128" i="3"/>
  <c r="V66" i="3"/>
  <c r="BC66" i="3" s="1"/>
  <c r="S66" i="3"/>
  <c r="U66" i="3" s="1"/>
  <c r="N67" i="3" s="1"/>
  <c r="P67" i="3" s="1"/>
  <c r="E104" i="3"/>
  <c r="G104" i="3" s="1"/>
  <c r="C105" i="3" s="1"/>
  <c r="D105" i="3" s="1"/>
  <c r="H105" i="3" s="1"/>
  <c r="BB76" i="3" l="1"/>
  <c r="AY76" i="3"/>
  <c r="BA76" i="3" s="1"/>
  <c r="AT77" i="3" s="1"/>
  <c r="AI64" i="3"/>
  <c r="X128" i="3"/>
  <c r="E105" i="3"/>
  <c r="G105" i="3" s="1"/>
  <c r="C106" i="3" s="1"/>
  <c r="D106" i="3" s="1"/>
  <c r="H106" i="3" s="1"/>
  <c r="T129" i="3"/>
  <c r="O67" i="3"/>
  <c r="Q67" i="3" s="1"/>
  <c r="AV77" i="3" l="1"/>
  <c r="AU77" i="3"/>
  <c r="AW77" i="3" s="1"/>
  <c r="AX77" i="3" s="1"/>
  <c r="BB77" i="3" s="1"/>
  <c r="AY77" i="3"/>
  <c r="BA77" i="3" s="1"/>
  <c r="AT78" i="3" s="1"/>
  <c r="AK64" i="3"/>
  <c r="AD65" i="3" s="1"/>
  <c r="X129" i="3"/>
  <c r="R67" i="3"/>
  <c r="V67" i="3" s="1"/>
  <c r="BC67" i="3" s="1"/>
  <c r="T130" i="3"/>
  <c r="E106" i="3"/>
  <c r="G106" i="3" s="1"/>
  <c r="C107" i="3" s="1"/>
  <c r="D107" i="3" s="1"/>
  <c r="AV78" i="3" l="1"/>
  <c r="AU78" i="3"/>
  <c r="AW78" i="3" s="1"/>
  <c r="AX78" i="3" s="1"/>
  <c r="BB78" i="3" s="1"/>
  <c r="AY78" i="3"/>
  <c r="BA78" i="3" s="1"/>
  <c r="AT79" i="3" s="1"/>
  <c r="AF65" i="3"/>
  <c r="AE65" i="3"/>
  <c r="AG65" i="3" s="1"/>
  <c r="X130" i="3"/>
  <c r="S67" i="3"/>
  <c r="U67" i="3" s="1"/>
  <c r="N68" i="3" s="1"/>
  <c r="P68" i="3" s="1"/>
  <c r="T131" i="3"/>
  <c r="H107" i="3"/>
  <c r="E107" i="3"/>
  <c r="G107" i="3" s="1"/>
  <c r="C108" i="3" s="1"/>
  <c r="D108" i="3" s="1"/>
  <c r="H108" i="3" s="1"/>
  <c r="AU79" i="3" l="1"/>
  <c r="AW79" i="3" s="1"/>
  <c r="AV79" i="3"/>
  <c r="AH65" i="3"/>
  <c r="AL65" i="3" s="1"/>
  <c r="X131" i="3"/>
  <c r="O68" i="3"/>
  <c r="Q68" i="3" s="1"/>
  <c r="E108" i="3"/>
  <c r="G108" i="3" s="1"/>
  <c r="C109" i="3" s="1"/>
  <c r="D109" i="3" s="1"/>
  <c r="H109" i="3" s="1"/>
  <c r="T132" i="3"/>
  <c r="AX79" i="3" l="1"/>
  <c r="AI65" i="3"/>
  <c r="AK65" i="3" s="1"/>
  <c r="AD66" i="3" s="1"/>
  <c r="AF66" i="3" s="1"/>
  <c r="X132" i="3"/>
  <c r="R68" i="3"/>
  <c r="S68" i="3" s="1"/>
  <c r="U68" i="3" s="1"/>
  <c r="N69" i="3" s="1"/>
  <c r="P69" i="3" s="1"/>
  <c r="T133" i="3"/>
  <c r="E109" i="3"/>
  <c r="G109" i="3" s="1"/>
  <c r="C110" i="3" s="1"/>
  <c r="D110" i="3" s="1"/>
  <c r="H110" i="3" s="1"/>
  <c r="BB79" i="3" l="1"/>
  <c r="AY79" i="3"/>
  <c r="BA79" i="3" s="1"/>
  <c r="AT80" i="3" s="1"/>
  <c r="AE66" i="3"/>
  <c r="AG66" i="3" s="1"/>
  <c r="AH66" i="3" s="1"/>
  <c r="AL66" i="3" s="1"/>
  <c r="O69" i="3"/>
  <c r="Q69" i="3" s="1"/>
  <c r="R69" i="3" s="1"/>
  <c r="V68" i="3"/>
  <c r="BC68" i="3" s="1"/>
  <c r="X133" i="3"/>
  <c r="T134" i="3"/>
  <c r="E110" i="3"/>
  <c r="G110" i="3" s="1"/>
  <c r="C111" i="3" s="1"/>
  <c r="D111" i="3" s="1"/>
  <c r="H111" i="3" s="1"/>
  <c r="AU80" i="3" l="1"/>
  <c r="AW80" i="3" s="1"/>
  <c r="AV80" i="3"/>
  <c r="AI66" i="3"/>
  <c r="AK66" i="3" s="1"/>
  <c r="AD67" i="3" s="1"/>
  <c r="AF67" i="3" s="1"/>
  <c r="X134" i="3"/>
  <c r="T135" i="3"/>
  <c r="V69" i="3"/>
  <c r="BC69" i="3" s="1"/>
  <c r="S69" i="3"/>
  <c r="U69" i="3" s="1"/>
  <c r="N70" i="3" s="1"/>
  <c r="P70" i="3" s="1"/>
  <c r="E111" i="3"/>
  <c r="G111" i="3" s="1"/>
  <c r="C112" i="3" s="1"/>
  <c r="D112" i="3" s="1"/>
  <c r="H112" i="3" s="1"/>
  <c r="AX80" i="3" l="1"/>
  <c r="AE67" i="3"/>
  <c r="AG67" i="3" s="1"/>
  <c r="AH67" i="3" s="1"/>
  <c r="AL67" i="3" s="1"/>
  <c r="X135" i="3"/>
  <c r="T136" i="3"/>
  <c r="O70" i="3"/>
  <c r="Q70" i="3" s="1"/>
  <c r="E112" i="3"/>
  <c r="G112" i="3" s="1"/>
  <c r="C113" i="3" s="1"/>
  <c r="BB80" i="3" l="1"/>
  <c r="AY80" i="3"/>
  <c r="BA80" i="3" s="1"/>
  <c r="AT81" i="3" s="1"/>
  <c r="AI67" i="3"/>
  <c r="AK67" i="3" s="1"/>
  <c r="AD68" i="3" s="1"/>
  <c r="AF68" i="3" s="1"/>
  <c r="X136" i="3"/>
  <c r="T137" i="3"/>
  <c r="R70" i="3"/>
  <c r="D113" i="3"/>
  <c r="H113" i="3" s="1"/>
  <c r="AV81" i="3" l="1"/>
  <c r="AU81" i="3"/>
  <c r="AW81" i="3" s="1"/>
  <c r="AX81" i="3" s="1"/>
  <c r="BB81" i="3" s="1"/>
  <c r="AY81" i="3"/>
  <c r="BA81" i="3" s="1"/>
  <c r="AT82" i="3" s="1"/>
  <c r="AE68" i="3"/>
  <c r="AG68" i="3" s="1"/>
  <c r="AH68" i="3" s="1"/>
  <c r="AL68" i="3" s="1"/>
  <c r="AI68" i="3"/>
  <c r="AK68" i="3"/>
  <c r="AD69" i="3" s="1"/>
  <c r="X137" i="3"/>
  <c r="E113" i="3"/>
  <c r="G113" i="3" s="1"/>
  <c r="C114" i="3" s="1"/>
  <c r="D114" i="3" s="1"/>
  <c r="H114" i="3" s="1"/>
  <c r="T138" i="3"/>
  <c r="V70" i="3"/>
  <c r="BC70" i="3" s="1"/>
  <c r="S70" i="3"/>
  <c r="U70" i="3" s="1"/>
  <c r="N71" i="3" s="1"/>
  <c r="P71" i="3" s="1"/>
  <c r="AV82" i="3" l="1"/>
  <c r="AU82" i="3"/>
  <c r="AW82" i="3" s="1"/>
  <c r="AX82" i="3" s="1"/>
  <c r="BB82" i="3" s="1"/>
  <c r="AY82" i="3"/>
  <c r="BA82" i="3" s="1"/>
  <c r="AT83" i="3" s="1"/>
  <c r="AE69" i="3"/>
  <c r="AG69" i="3" s="1"/>
  <c r="AF69" i="3"/>
  <c r="X138" i="3"/>
  <c r="T139" i="3"/>
  <c r="O71" i="3"/>
  <c r="Q71" i="3" s="1"/>
  <c r="E114" i="3"/>
  <c r="G114" i="3" s="1"/>
  <c r="C115" i="3" s="1"/>
  <c r="D115" i="3" s="1"/>
  <c r="H115" i="3" s="1"/>
  <c r="AU83" i="3" l="1"/>
  <c r="AW83" i="3" s="1"/>
  <c r="AV83" i="3"/>
  <c r="AH69" i="3"/>
  <c r="X139" i="3"/>
  <c r="T140" i="3"/>
  <c r="R71" i="3"/>
  <c r="E115" i="3"/>
  <c r="G115" i="3" s="1"/>
  <c r="C116" i="3" s="1"/>
  <c r="AX83" i="3" l="1"/>
  <c r="AL69" i="3"/>
  <c r="AI69" i="3"/>
  <c r="X140" i="3"/>
  <c r="T141" i="3"/>
  <c r="V71" i="3"/>
  <c r="BC71" i="3" s="1"/>
  <c r="S71" i="3"/>
  <c r="U71" i="3" s="1"/>
  <c r="N72" i="3" s="1"/>
  <c r="P72" i="3" s="1"/>
  <c r="D116" i="3"/>
  <c r="H116" i="3" s="1"/>
  <c r="BB83" i="3" l="1"/>
  <c r="AY83" i="3"/>
  <c r="BA83" i="3" s="1"/>
  <c r="AT84" i="3" s="1"/>
  <c r="AK69" i="3"/>
  <c r="AD70" i="3" s="1"/>
  <c r="E116" i="3"/>
  <c r="G116" i="3" s="1"/>
  <c r="C117" i="3" s="1"/>
  <c r="D117" i="3" s="1"/>
  <c r="H117" i="3" s="1"/>
  <c r="X141" i="3"/>
  <c r="T142" i="3"/>
  <c r="O72" i="3"/>
  <c r="Q72" i="3" s="1"/>
  <c r="AV84" i="3" l="1"/>
  <c r="AU84" i="3"/>
  <c r="AW84" i="3" s="1"/>
  <c r="AX84" i="3" s="1"/>
  <c r="BB84" i="3" s="1"/>
  <c r="AY84" i="3"/>
  <c r="BA84" i="3" s="1"/>
  <c r="AT85" i="3" s="1"/>
  <c r="AF70" i="3"/>
  <c r="AE70" i="3"/>
  <c r="AG70" i="3" s="1"/>
  <c r="R72" i="3"/>
  <c r="V72" i="3" s="1"/>
  <c r="BC72" i="3" s="1"/>
  <c r="X142" i="3"/>
  <c r="T143" i="3"/>
  <c r="E117" i="3"/>
  <c r="G117" i="3" s="1"/>
  <c r="C118" i="3" s="1"/>
  <c r="D118" i="3" s="1"/>
  <c r="H118" i="3" s="1"/>
  <c r="AV85" i="3" l="1"/>
  <c r="AU85" i="3"/>
  <c r="AW85" i="3" s="1"/>
  <c r="AX85" i="3" s="1"/>
  <c r="BB85" i="3" s="1"/>
  <c r="AY85" i="3"/>
  <c r="BA85" i="3" s="1"/>
  <c r="AT86" i="3" s="1"/>
  <c r="AH70" i="3"/>
  <c r="AL70" i="3" s="1"/>
  <c r="T144" i="3"/>
  <c r="M144" i="3"/>
  <c r="S72" i="3"/>
  <c r="U72" i="3" s="1"/>
  <c r="N73" i="3" s="1"/>
  <c r="P73" i="3" s="1"/>
  <c r="X143" i="3"/>
  <c r="X144" i="3"/>
  <c r="X22" i="3" s="1"/>
  <c r="E118" i="3"/>
  <c r="G118" i="3" s="1"/>
  <c r="C119" i="3" s="1"/>
  <c r="D119" i="3" s="1"/>
  <c r="H119" i="3" s="1"/>
  <c r="AV86" i="3" l="1"/>
  <c r="AU86" i="3"/>
  <c r="AW86" i="3" s="1"/>
  <c r="AX86" i="3" s="1"/>
  <c r="BB86" i="3" s="1"/>
  <c r="AY86" i="3"/>
  <c r="BA86" i="3" s="1"/>
  <c r="AT87" i="3" s="1"/>
  <c r="AI70" i="3"/>
  <c r="AK70" i="3" s="1"/>
  <c r="AD71" i="3" s="1"/>
  <c r="AF71" i="3" s="1"/>
  <c r="O73" i="3"/>
  <c r="Q73" i="3" s="1"/>
  <c r="E119" i="3"/>
  <c r="G119" i="3" s="1"/>
  <c r="C120" i="3" s="1"/>
  <c r="D120" i="3" s="1"/>
  <c r="H120" i="3" s="1"/>
  <c r="AV87" i="3" l="1"/>
  <c r="AU87" i="3"/>
  <c r="AW87" i="3" s="1"/>
  <c r="AX87" i="3" s="1"/>
  <c r="BB87" i="3" s="1"/>
  <c r="AY87" i="3"/>
  <c r="BA87" i="3" s="1"/>
  <c r="AT88" i="3" s="1"/>
  <c r="AE71" i="3"/>
  <c r="AG71" i="3" s="1"/>
  <c r="AH71" i="3" s="1"/>
  <c r="AL71" i="3" s="1"/>
  <c r="R73" i="3"/>
  <c r="E120" i="3"/>
  <c r="G120" i="3" s="1"/>
  <c r="C121" i="3" s="1"/>
  <c r="D121" i="3" s="1"/>
  <c r="AU88" i="3" l="1"/>
  <c r="AW88" i="3" s="1"/>
  <c r="AV88" i="3"/>
  <c r="AI71" i="3"/>
  <c r="AK71" i="3" s="1"/>
  <c r="AD72" i="3" s="1"/>
  <c r="AE72" i="3" s="1"/>
  <c r="AG72" i="3" s="1"/>
  <c r="V73" i="3"/>
  <c r="BC73" i="3" s="1"/>
  <c r="S73" i="3"/>
  <c r="U73" i="3" s="1"/>
  <c r="N74" i="3" s="1"/>
  <c r="P74" i="3" s="1"/>
  <c r="H121" i="3"/>
  <c r="E121" i="3"/>
  <c r="G121" i="3" s="1"/>
  <c r="C122" i="3" s="1"/>
  <c r="D122" i="3" s="1"/>
  <c r="H122" i="3" s="1"/>
  <c r="AX88" i="3" l="1"/>
  <c r="AF72" i="3"/>
  <c r="AH72" i="3" s="1"/>
  <c r="O74" i="3"/>
  <c r="Q74" i="3" s="1"/>
  <c r="E122" i="3"/>
  <c r="G122" i="3" s="1"/>
  <c r="C123" i="3" s="1"/>
  <c r="D123" i="3" s="1"/>
  <c r="H123" i="3" s="1"/>
  <c r="BB88" i="3" l="1"/>
  <c r="AY88" i="3"/>
  <c r="BA88" i="3" s="1"/>
  <c r="AT89" i="3" s="1"/>
  <c r="AL72" i="3"/>
  <c r="AI72" i="3"/>
  <c r="R74" i="3"/>
  <c r="E123" i="3"/>
  <c r="G123" i="3" s="1"/>
  <c r="C124" i="3" s="1"/>
  <c r="D124" i="3" s="1"/>
  <c r="H124" i="3" s="1"/>
  <c r="AU89" i="3" l="1"/>
  <c r="AW89" i="3" s="1"/>
  <c r="AV89" i="3"/>
  <c r="AK72" i="3"/>
  <c r="AD73" i="3" s="1"/>
  <c r="V74" i="3"/>
  <c r="BC74" i="3" s="1"/>
  <c r="S74" i="3"/>
  <c r="U74" i="3" s="1"/>
  <c r="N75" i="3" s="1"/>
  <c r="P75" i="3" s="1"/>
  <c r="E124" i="3"/>
  <c r="G124" i="3" s="1"/>
  <c r="C125" i="3" s="1"/>
  <c r="D125" i="3" s="1"/>
  <c r="H125" i="3" s="1"/>
  <c r="AX89" i="3" l="1"/>
  <c r="AF73" i="3"/>
  <c r="AE73" i="3"/>
  <c r="AG73" i="3" s="1"/>
  <c r="O75" i="3"/>
  <c r="Q75" i="3" s="1"/>
  <c r="E125" i="3"/>
  <c r="G125" i="3" s="1"/>
  <c r="C126" i="3" s="1"/>
  <c r="D126" i="3" s="1"/>
  <c r="H126" i="3" s="1"/>
  <c r="BB89" i="3" l="1"/>
  <c r="AY89" i="3"/>
  <c r="BA89" i="3" s="1"/>
  <c r="AT90" i="3" s="1"/>
  <c r="AH73" i="3"/>
  <c r="AL73" i="3" s="1"/>
  <c r="AI73" i="3"/>
  <c r="AK73" i="3" s="1"/>
  <c r="AD74" i="3" s="1"/>
  <c r="R75" i="3"/>
  <c r="E126" i="3"/>
  <c r="G126" i="3" s="1"/>
  <c r="C127" i="3" s="1"/>
  <c r="AU90" i="3" l="1"/>
  <c r="AW90" i="3" s="1"/>
  <c r="AV90" i="3"/>
  <c r="AE74" i="3"/>
  <c r="AG74" i="3" s="1"/>
  <c r="AF74" i="3"/>
  <c r="V75" i="3"/>
  <c r="BC75" i="3" s="1"/>
  <c r="S75" i="3"/>
  <c r="U75" i="3" s="1"/>
  <c r="N76" i="3" s="1"/>
  <c r="P76" i="3" s="1"/>
  <c r="D127" i="3"/>
  <c r="H127" i="3" s="1"/>
  <c r="AX90" i="3" l="1"/>
  <c r="AH74" i="3"/>
  <c r="O76" i="3"/>
  <c r="E127" i="3"/>
  <c r="G127" i="3" s="1"/>
  <c r="C128" i="3" s="1"/>
  <c r="D128" i="3" s="1"/>
  <c r="H128" i="3" s="1"/>
  <c r="BB90" i="3" l="1"/>
  <c r="AY90" i="3"/>
  <c r="BA90" i="3" s="1"/>
  <c r="AT91" i="3" s="1"/>
  <c r="AL74" i="3"/>
  <c r="AI74" i="3"/>
  <c r="Q76" i="3"/>
  <c r="R76" i="3" s="1"/>
  <c r="E128" i="3"/>
  <c r="G128" i="3" s="1"/>
  <c r="C129" i="3" s="1"/>
  <c r="D129" i="3" s="1"/>
  <c r="H129" i="3" s="1"/>
  <c r="AV91" i="3" l="1"/>
  <c r="AU91" i="3"/>
  <c r="AW91" i="3" s="1"/>
  <c r="AX91" i="3" s="1"/>
  <c r="BB91" i="3" s="1"/>
  <c r="AY91" i="3"/>
  <c r="BA91" i="3" s="1"/>
  <c r="AT92" i="3" s="1"/>
  <c r="AK74" i="3"/>
  <c r="AD75" i="3" s="1"/>
  <c r="V76" i="3"/>
  <c r="BC76" i="3" s="1"/>
  <c r="S76" i="3"/>
  <c r="U76" i="3" s="1"/>
  <c r="N77" i="3" s="1"/>
  <c r="O77" i="3" s="1"/>
  <c r="Q77" i="3" s="1"/>
  <c r="E129" i="3"/>
  <c r="G129" i="3" s="1"/>
  <c r="C130" i="3" s="1"/>
  <c r="D130" i="3" s="1"/>
  <c r="H130" i="3" s="1"/>
  <c r="AU92" i="3" l="1"/>
  <c r="AW92" i="3" s="1"/>
  <c r="AX92" i="3" s="1"/>
  <c r="BB92" i="3" s="1"/>
  <c r="AV92" i="3"/>
  <c r="P77" i="3"/>
  <c r="AF75" i="3"/>
  <c r="AE75" i="3"/>
  <c r="AG75" i="3" s="1"/>
  <c r="R77" i="3"/>
  <c r="E130" i="3"/>
  <c r="G130" i="3" s="1"/>
  <c r="C131" i="3" s="1"/>
  <c r="D131" i="3" s="1"/>
  <c r="H131" i="3" s="1"/>
  <c r="AY92" i="3" l="1"/>
  <c r="BA92" i="3" s="1"/>
  <c r="AT93" i="3" s="1"/>
  <c r="AH75" i="3"/>
  <c r="AL75" i="3" s="1"/>
  <c r="V77" i="3"/>
  <c r="BC77" i="3" s="1"/>
  <c r="S77" i="3"/>
  <c r="U77" i="3" s="1"/>
  <c r="N78" i="3" s="1"/>
  <c r="E131" i="3"/>
  <c r="G131" i="3" s="1"/>
  <c r="C132" i="3" s="1"/>
  <c r="D132" i="3" s="1"/>
  <c r="H132" i="3" s="1"/>
  <c r="AV93" i="3" l="1"/>
  <c r="AU93" i="3"/>
  <c r="AW93" i="3" s="1"/>
  <c r="AX93" i="3" s="1"/>
  <c r="BB93" i="3" s="1"/>
  <c r="AY93" i="3"/>
  <c r="BA93" i="3" s="1"/>
  <c r="AT94" i="3" s="1"/>
  <c r="AI75" i="3"/>
  <c r="AK75" i="3" s="1"/>
  <c r="AD76" i="3" s="1"/>
  <c r="P78" i="3"/>
  <c r="O78" i="3"/>
  <c r="E132" i="3"/>
  <c r="G132" i="3" s="1"/>
  <c r="C133" i="3" s="1"/>
  <c r="D133" i="3" s="1"/>
  <c r="H133" i="3" s="1"/>
  <c r="AV94" i="3" l="1"/>
  <c r="AU94" i="3"/>
  <c r="AW94" i="3" s="1"/>
  <c r="AX94" i="3" s="1"/>
  <c r="BB94" i="3" s="1"/>
  <c r="AY94" i="3"/>
  <c r="BA94" i="3" s="1"/>
  <c r="AT95" i="3" s="1"/>
  <c r="AE76" i="3"/>
  <c r="AG76" i="3" s="1"/>
  <c r="AF76" i="3"/>
  <c r="Q78" i="3"/>
  <c r="R78" i="3" s="1"/>
  <c r="E133" i="3"/>
  <c r="G133" i="3" s="1"/>
  <c r="C134" i="3" s="1"/>
  <c r="AV95" i="3" l="1"/>
  <c r="AU95" i="3"/>
  <c r="AW95" i="3" s="1"/>
  <c r="AX95" i="3" s="1"/>
  <c r="BB95" i="3" s="1"/>
  <c r="AY95" i="3"/>
  <c r="BA95" i="3" s="1"/>
  <c r="AT96" i="3" s="1"/>
  <c r="AH76" i="3"/>
  <c r="V78" i="3"/>
  <c r="BC78" i="3" s="1"/>
  <c r="S78" i="3"/>
  <c r="U78" i="3" s="1"/>
  <c r="N79" i="3" s="1"/>
  <c r="D134" i="3"/>
  <c r="H134" i="3" s="1"/>
  <c r="AV96" i="3" l="1"/>
  <c r="AU96" i="3"/>
  <c r="AW96" i="3" s="1"/>
  <c r="AX96" i="3" s="1"/>
  <c r="BB96" i="3" s="1"/>
  <c r="AL76" i="3"/>
  <c r="AI76" i="3"/>
  <c r="P79" i="3"/>
  <c r="O79" i="3"/>
  <c r="Q79" i="3" s="1"/>
  <c r="E134" i="3"/>
  <c r="G134" i="3" s="1"/>
  <c r="C135" i="3" s="1"/>
  <c r="AY96" i="3" l="1"/>
  <c r="BA96" i="3" s="1"/>
  <c r="AT97" i="3" s="1"/>
  <c r="AK76" i="3"/>
  <c r="AD77" i="3" s="1"/>
  <c r="R79" i="3"/>
  <c r="D135" i="3"/>
  <c r="H135" i="3" s="1"/>
  <c r="E135" i="3"/>
  <c r="G135" i="3" s="1"/>
  <c r="C136" i="3" s="1"/>
  <c r="AU97" i="3" l="1"/>
  <c r="AW97" i="3" s="1"/>
  <c r="AV97" i="3"/>
  <c r="AE77" i="3"/>
  <c r="AG77" i="3" s="1"/>
  <c r="AF77" i="3"/>
  <c r="V79" i="3"/>
  <c r="BC79" i="3" s="1"/>
  <c r="S79" i="3"/>
  <c r="U79" i="3" s="1"/>
  <c r="N80" i="3" s="1"/>
  <c r="D136" i="3"/>
  <c r="H136" i="3" s="1"/>
  <c r="AX97" i="3" l="1"/>
  <c r="AH77" i="3"/>
  <c r="P80" i="3"/>
  <c r="O80" i="3"/>
  <c r="Q80" i="3" s="1"/>
  <c r="R80" i="3" s="1"/>
  <c r="V80" i="3" s="1"/>
  <c r="BC80" i="3" s="1"/>
  <c r="E136" i="3"/>
  <c r="G136" i="3" s="1"/>
  <c r="C137" i="3" s="1"/>
  <c r="D137" i="3" s="1"/>
  <c r="H137" i="3" s="1"/>
  <c r="S80" i="3"/>
  <c r="U80" i="3" s="1"/>
  <c r="N81" i="3" s="1"/>
  <c r="P81" i="3" s="1"/>
  <c r="BB97" i="3" l="1"/>
  <c r="AY97" i="3"/>
  <c r="BA97" i="3" s="1"/>
  <c r="AT98" i="3" s="1"/>
  <c r="AL77" i="3"/>
  <c r="AI77" i="3"/>
  <c r="O81" i="3"/>
  <c r="Q81" i="3" s="1"/>
  <c r="E137" i="3"/>
  <c r="G137" i="3" s="1"/>
  <c r="C138" i="3" s="1"/>
  <c r="AV98" i="3" l="1"/>
  <c r="AU98" i="3"/>
  <c r="AW98" i="3" s="1"/>
  <c r="AX98" i="3" s="1"/>
  <c r="BB98" i="3" s="1"/>
  <c r="AY98" i="3"/>
  <c r="BA98" i="3" s="1"/>
  <c r="AT99" i="3" s="1"/>
  <c r="AK77" i="3"/>
  <c r="AD78" i="3" s="1"/>
  <c r="R81" i="3"/>
  <c r="D138" i="3"/>
  <c r="H138" i="3" s="1"/>
  <c r="AV99" i="3" l="1"/>
  <c r="AU99" i="3"/>
  <c r="AW99" i="3" s="1"/>
  <c r="AX99" i="3" s="1"/>
  <c r="BB99" i="3" s="1"/>
  <c r="AY99" i="3"/>
  <c r="BA99" i="3" s="1"/>
  <c r="AT100" i="3" s="1"/>
  <c r="AF78" i="3"/>
  <c r="AE78" i="3"/>
  <c r="AG78" i="3" s="1"/>
  <c r="AH78" i="3" s="1"/>
  <c r="AL78" i="3" s="1"/>
  <c r="V81" i="3"/>
  <c r="BC81" i="3" s="1"/>
  <c r="S81" i="3"/>
  <c r="U81" i="3" s="1"/>
  <c r="N82" i="3" s="1"/>
  <c r="P82" i="3" s="1"/>
  <c r="E138" i="3"/>
  <c r="G138" i="3" s="1"/>
  <c r="C139" i="3" s="1"/>
  <c r="D139" i="3" s="1"/>
  <c r="H139" i="3" s="1"/>
  <c r="AV100" i="3" l="1"/>
  <c r="AU100" i="3"/>
  <c r="AW100" i="3" s="1"/>
  <c r="AX100" i="3" s="1"/>
  <c r="BB100" i="3" s="1"/>
  <c r="AY100" i="3"/>
  <c r="BA100" i="3" s="1"/>
  <c r="AT101" i="3" s="1"/>
  <c r="AI78" i="3"/>
  <c r="AK78" i="3" s="1"/>
  <c r="AD79" i="3" s="1"/>
  <c r="E139" i="3"/>
  <c r="G139" i="3" s="1"/>
  <c r="C140" i="3" s="1"/>
  <c r="D140" i="3" s="1"/>
  <c r="H140" i="3" s="1"/>
  <c r="O82" i="3"/>
  <c r="Q82" i="3" s="1"/>
  <c r="AU101" i="3" l="1"/>
  <c r="AW101" i="3" s="1"/>
  <c r="AX101" i="3" s="1"/>
  <c r="BB101" i="3" s="1"/>
  <c r="AV101" i="3"/>
  <c r="AE79" i="3"/>
  <c r="AG79" i="3" s="1"/>
  <c r="AF79" i="3"/>
  <c r="R82" i="3"/>
  <c r="E140" i="3"/>
  <c r="G140" i="3" s="1"/>
  <c r="C141" i="3" s="1"/>
  <c r="D141" i="3" s="1"/>
  <c r="H141" i="3" s="1"/>
  <c r="AY101" i="3" l="1"/>
  <c r="BA101" i="3" s="1"/>
  <c r="AT102" i="3" s="1"/>
  <c r="AH79" i="3"/>
  <c r="V82" i="3"/>
  <c r="BC82" i="3" s="1"/>
  <c r="S82" i="3"/>
  <c r="U82" i="3" s="1"/>
  <c r="N83" i="3" s="1"/>
  <c r="P83" i="3" s="1"/>
  <c r="E141" i="3"/>
  <c r="G141" i="3" s="1"/>
  <c r="C142" i="3" s="1"/>
  <c r="AV102" i="3" l="1"/>
  <c r="AU102" i="3"/>
  <c r="AW102" i="3" s="1"/>
  <c r="AX102" i="3" s="1"/>
  <c r="BB102" i="3" s="1"/>
  <c r="AY102" i="3"/>
  <c r="BA102" i="3" s="1"/>
  <c r="AT103" i="3" s="1"/>
  <c r="AL79" i="3"/>
  <c r="AI79" i="3"/>
  <c r="O83" i="3"/>
  <c r="Q83" i="3" s="1"/>
  <c r="D142" i="3"/>
  <c r="H142" i="3" s="1"/>
  <c r="AV103" i="3" l="1"/>
  <c r="AU103" i="3"/>
  <c r="AW103" i="3" s="1"/>
  <c r="AX103" i="3" s="1"/>
  <c r="BB103" i="3" s="1"/>
  <c r="AY103" i="3"/>
  <c r="BA103" i="3" s="1"/>
  <c r="AT104" i="3" s="1"/>
  <c r="AK79" i="3"/>
  <c r="AD80" i="3" s="1"/>
  <c r="R83" i="3"/>
  <c r="E142" i="3"/>
  <c r="G142" i="3" s="1"/>
  <c r="C143" i="3" s="1"/>
  <c r="D143" i="3" s="1"/>
  <c r="H143" i="3" s="1"/>
  <c r="AV104" i="3" l="1"/>
  <c r="AU104" i="3"/>
  <c r="AW104" i="3" s="1"/>
  <c r="AX104" i="3" s="1"/>
  <c r="BB104" i="3" s="1"/>
  <c r="AY104" i="3"/>
  <c r="BA104" i="3" s="1"/>
  <c r="AT105" i="3" s="1"/>
  <c r="AF80" i="3"/>
  <c r="AE80" i="3"/>
  <c r="AG80" i="3" s="1"/>
  <c r="AH80" i="3" s="1"/>
  <c r="AL80" i="3" s="1"/>
  <c r="V83" i="3"/>
  <c r="BC83" i="3" s="1"/>
  <c r="S83" i="3"/>
  <c r="U83" i="3" s="1"/>
  <c r="N84" i="3" s="1"/>
  <c r="P84" i="3" s="1"/>
  <c r="E143" i="3"/>
  <c r="G143" i="3" s="1"/>
  <c r="C144" i="3" s="1"/>
  <c r="D144" i="3" s="1"/>
  <c r="H144" i="3" s="1"/>
  <c r="AV105" i="3" l="1"/>
  <c r="AU105" i="3"/>
  <c r="AW105" i="3" s="1"/>
  <c r="AX105" i="3" s="1"/>
  <c r="BB105" i="3" s="1"/>
  <c r="AI80" i="3"/>
  <c r="O84" i="3"/>
  <c r="Q84" i="3" s="1"/>
  <c r="E144" i="3"/>
  <c r="G144" i="3" s="1"/>
  <c r="AY105" i="3" l="1"/>
  <c r="BA105" i="3" s="1"/>
  <c r="AT106" i="3" s="1"/>
  <c r="AK80" i="3"/>
  <c r="AD81" i="3" s="1"/>
  <c r="R84" i="3"/>
  <c r="AV106" i="3" l="1"/>
  <c r="AU106" i="3"/>
  <c r="AW106" i="3" s="1"/>
  <c r="AX106" i="3" s="1"/>
  <c r="BB106" i="3" s="1"/>
  <c r="AE81" i="3"/>
  <c r="AG81" i="3" s="1"/>
  <c r="AF81" i="3"/>
  <c r="V84" i="3"/>
  <c r="BC84" i="3" s="1"/>
  <c r="S84" i="3"/>
  <c r="U84" i="3" s="1"/>
  <c r="N85" i="3" s="1"/>
  <c r="P85" i="3" s="1"/>
  <c r="AY106" i="3" l="1"/>
  <c r="BA106" i="3" s="1"/>
  <c r="AT107" i="3" s="1"/>
  <c r="AH81" i="3"/>
  <c r="O85" i="3"/>
  <c r="Q85" i="3" s="1"/>
  <c r="AV107" i="3" l="1"/>
  <c r="AU107" i="3"/>
  <c r="AW107" i="3" s="1"/>
  <c r="AX107" i="3" s="1"/>
  <c r="BB107" i="3" s="1"/>
  <c r="AY107" i="3"/>
  <c r="BA107" i="3" s="1"/>
  <c r="AT108" i="3" s="1"/>
  <c r="AL81" i="3"/>
  <c r="AI81" i="3"/>
  <c r="R85" i="3"/>
  <c r="AU108" i="3" l="1"/>
  <c r="AW108" i="3" s="1"/>
  <c r="AV108" i="3"/>
  <c r="AK81" i="3"/>
  <c r="AD82" i="3" s="1"/>
  <c r="V85" i="3"/>
  <c r="BC85" i="3" s="1"/>
  <c r="S85" i="3"/>
  <c r="U85" i="3" s="1"/>
  <c r="N86" i="3" s="1"/>
  <c r="P86" i="3" s="1"/>
  <c r="AX108" i="3" l="1"/>
  <c r="AF82" i="3"/>
  <c r="AE82" i="3"/>
  <c r="AG82" i="3" s="1"/>
  <c r="AH82" i="3" s="1"/>
  <c r="AL82" i="3" s="1"/>
  <c r="O86" i="3"/>
  <c r="Q86" i="3" s="1"/>
  <c r="BB108" i="3" l="1"/>
  <c r="AY108" i="3"/>
  <c r="BA108" i="3" s="1"/>
  <c r="AT109" i="3" s="1"/>
  <c r="AI82" i="3"/>
  <c r="AK82" i="3" s="1"/>
  <c r="AD83" i="3" s="1"/>
  <c r="R86" i="3"/>
  <c r="AU109" i="3" l="1"/>
  <c r="AW109" i="3" s="1"/>
  <c r="AV109" i="3"/>
  <c r="AE83" i="3"/>
  <c r="AG83" i="3" s="1"/>
  <c r="AF83" i="3"/>
  <c r="V86" i="3"/>
  <c r="BC86" i="3" s="1"/>
  <c r="S86" i="3"/>
  <c r="U86" i="3" s="1"/>
  <c r="N87" i="3" s="1"/>
  <c r="P87" i="3" s="1"/>
  <c r="AX109" i="3" l="1"/>
  <c r="AH83" i="3"/>
  <c r="O87" i="3"/>
  <c r="Q87" i="3" s="1"/>
  <c r="BB109" i="3" l="1"/>
  <c r="AY109" i="3"/>
  <c r="BA109" i="3" s="1"/>
  <c r="AT110" i="3" s="1"/>
  <c r="AL83" i="3"/>
  <c r="AI83" i="3"/>
  <c r="R87" i="3"/>
  <c r="V87" i="3" s="1"/>
  <c r="BC87" i="3" s="1"/>
  <c r="AV110" i="3" l="1"/>
  <c r="AU110" i="3"/>
  <c r="AW110" i="3" s="1"/>
  <c r="AX110" i="3" s="1"/>
  <c r="BB110" i="3" s="1"/>
  <c r="AY110" i="3"/>
  <c r="BA110" i="3" s="1"/>
  <c r="AT111" i="3" s="1"/>
  <c r="S87" i="3"/>
  <c r="U87" i="3" s="1"/>
  <c r="N88" i="3" s="1"/>
  <c r="P88" i="3" s="1"/>
  <c r="AK83" i="3"/>
  <c r="AD84" i="3" s="1"/>
  <c r="O88" i="3"/>
  <c r="AU111" i="3" l="1"/>
  <c r="AW111" i="3" s="1"/>
  <c r="AV111" i="3"/>
  <c r="AE84" i="3"/>
  <c r="AG84" i="3" s="1"/>
  <c r="AF84" i="3"/>
  <c r="Q88" i="3"/>
  <c r="R88" i="3" s="1"/>
  <c r="AX111" i="3" l="1"/>
  <c r="AH84" i="3"/>
  <c r="V88" i="3"/>
  <c r="BC88" i="3" s="1"/>
  <c r="S88" i="3"/>
  <c r="U88" i="3" s="1"/>
  <c r="N89" i="3" s="1"/>
  <c r="O89" i="3" s="1"/>
  <c r="Q89" i="3" s="1"/>
  <c r="BB111" i="3" l="1"/>
  <c r="AY111" i="3"/>
  <c r="BA111" i="3" s="1"/>
  <c r="AT112" i="3" s="1"/>
  <c r="P89" i="3"/>
  <c r="R89" i="3" s="1"/>
  <c r="AL84" i="3"/>
  <c r="AI84" i="3"/>
  <c r="AU112" i="3" l="1"/>
  <c r="AW112" i="3" s="1"/>
  <c r="AV112" i="3"/>
  <c r="V89" i="3"/>
  <c r="BC89" i="3" s="1"/>
  <c r="S89" i="3"/>
  <c r="U89" i="3" s="1"/>
  <c r="N90" i="3" s="1"/>
  <c r="P90" i="3" s="1"/>
  <c r="AK84" i="3"/>
  <c r="AD85" i="3" s="1"/>
  <c r="AX112" i="3" l="1"/>
  <c r="O90" i="3"/>
  <c r="Q90" i="3" s="1"/>
  <c r="R90" i="3" s="1"/>
  <c r="AE85" i="3"/>
  <c r="AG85" i="3" s="1"/>
  <c r="AF85" i="3"/>
  <c r="BB112" i="3" l="1"/>
  <c r="AY112" i="3"/>
  <c r="BA112" i="3" s="1"/>
  <c r="AT113" i="3" s="1"/>
  <c r="AH85" i="3"/>
  <c r="V90" i="3"/>
  <c r="BC90" i="3" s="1"/>
  <c r="S90" i="3"/>
  <c r="U90" i="3" s="1"/>
  <c r="N91" i="3" s="1"/>
  <c r="P91" i="3" s="1"/>
  <c r="AU113" i="3" l="1"/>
  <c r="AW113" i="3" s="1"/>
  <c r="AV113" i="3"/>
  <c r="O91" i="3"/>
  <c r="Q91" i="3" s="1"/>
  <c r="AL85" i="3"/>
  <c r="AI85" i="3"/>
  <c r="R91" i="3"/>
  <c r="AX113" i="3" l="1"/>
  <c r="AK85" i="3"/>
  <c r="AD86" i="3" s="1"/>
  <c r="V91" i="3"/>
  <c r="BC91" i="3" s="1"/>
  <c r="S91" i="3"/>
  <c r="U91" i="3" s="1"/>
  <c r="N92" i="3" s="1"/>
  <c r="P92" i="3" s="1"/>
  <c r="BB113" i="3" l="1"/>
  <c r="AY113" i="3"/>
  <c r="BA113" i="3" s="1"/>
  <c r="AT114" i="3" s="1"/>
  <c r="AF86" i="3"/>
  <c r="AE86" i="3"/>
  <c r="AG86" i="3" s="1"/>
  <c r="AH86" i="3" s="1"/>
  <c r="AL86" i="3" s="1"/>
  <c r="O92" i="3"/>
  <c r="Q92" i="3" s="1"/>
  <c r="AU114" i="3" l="1"/>
  <c r="AW114" i="3" s="1"/>
  <c r="AV114" i="3"/>
  <c r="AI86" i="3"/>
  <c r="AK86" i="3" s="1"/>
  <c r="AD87" i="3" s="1"/>
  <c r="R92" i="3"/>
  <c r="AX114" i="3" l="1"/>
  <c r="AF87" i="3"/>
  <c r="AE87" i="3"/>
  <c r="AG87" i="3" s="1"/>
  <c r="AH87" i="3" s="1"/>
  <c r="AL87" i="3" s="1"/>
  <c r="V92" i="3"/>
  <c r="BC92" i="3" s="1"/>
  <c r="S92" i="3"/>
  <c r="U92" i="3" s="1"/>
  <c r="N93" i="3" s="1"/>
  <c r="P93" i="3" s="1"/>
  <c r="BB114" i="3" l="1"/>
  <c r="AY114" i="3"/>
  <c r="BA114" i="3" s="1"/>
  <c r="AT115" i="3" s="1"/>
  <c r="AI87" i="3"/>
  <c r="AK87" i="3" s="1"/>
  <c r="AD88" i="3" s="1"/>
  <c r="O93" i="3"/>
  <c r="Q93" i="3" s="1"/>
  <c r="AV115" i="3" l="1"/>
  <c r="AU115" i="3"/>
  <c r="AW115" i="3" s="1"/>
  <c r="AX115" i="3" s="1"/>
  <c r="BB115" i="3" s="1"/>
  <c r="AY115" i="3"/>
  <c r="BA115" i="3" s="1"/>
  <c r="AT116" i="3" s="1"/>
  <c r="AF88" i="3"/>
  <c r="AE88" i="3"/>
  <c r="AG88" i="3" s="1"/>
  <c r="R93" i="3"/>
  <c r="S93" i="3" s="1"/>
  <c r="U93" i="3" s="1"/>
  <c r="N94" i="3" s="1"/>
  <c r="P94" i="3" s="1"/>
  <c r="AV116" i="3" l="1"/>
  <c r="AU116" i="3"/>
  <c r="AW116" i="3" s="1"/>
  <c r="AX116" i="3" s="1"/>
  <c r="BB116" i="3" s="1"/>
  <c r="AH88" i="3"/>
  <c r="AL88" i="3" s="1"/>
  <c r="AI88" i="3"/>
  <c r="AK88" i="3" s="1"/>
  <c r="AD89" i="3" s="1"/>
  <c r="V93" i="3"/>
  <c r="BC93" i="3" s="1"/>
  <c r="O94" i="3"/>
  <c r="Q94" i="3" s="1"/>
  <c r="AY116" i="3" l="1"/>
  <c r="BA116" i="3" s="1"/>
  <c r="AT117" i="3" s="1"/>
  <c r="AF89" i="3"/>
  <c r="AE89" i="3"/>
  <c r="AG89" i="3" s="1"/>
  <c r="AH89" i="3" s="1"/>
  <c r="AL89" i="3" s="1"/>
  <c r="R94" i="3"/>
  <c r="AU117" i="3" l="1"/>
  <c r="AW117" i="3" s="1"/>
  <c r="AX117" i="3" s="1"/>
  <c r="BB117" i="3" s="1"/>
  <c r="AV117" i="3"/>
  <c r="AY117" i="3"/>
  <c r="BA117" i="3" s="1"/>
  <c r="AT118" i="3" s="1"/>
  <c r="AI89" i="3"/>
  <c r="V94" i="3"/>
  <c r="BC94" i="3" s="1"/>
  <c r="S94" i="3"/>
  <c r="U94" i="3" s="1"/>
  <c r="N95" i="3" s="1"/>
  <c r="P95" i="3" s="1"/>
  <c r="AV118" i="3" l="1"/>
  <c r="AU118" i="3"/>
  <c r="AW118" i="3" s="1"/>
  <c r="AX118" i="3" s="1"/>
  <c r="BB118" i="3" s="1"/>
  <c r="AY118" i="3"/>
  <c r="BA118" i="3" s="1"/>
  <c r="AT119" i="3" s="1"/>
  <c r="AK89" i="3"/>
  <c r="AD90" i="3" s="1"/>
  <c r="O95" i="3"/>
  <c r="Q95" i="3" s="1"/>
  <c r="AV119" i="3" l="1"/>
  <c r="AU119" i="3"/>
  <c r="AW119" i="3" s="1"/>
  <c r="AX119" i="3" s="1"/>
  <c r="BB119" i="3" s="1"/>
  <c r="AY119" i="3"/>
  <c r="BA119" i="3" s="1"/>
  <c r="AT120" i="3" s="1"/>
  <c r="AF90" i="3"/>
  <c r="AE90" i="3"/>
  <c r="AG90" i="3" s="1"/>
  <c r="R95" i="3"/>
  <c r="AU120" i="3" l="1"/>
  <c r="AW120" i="3" s="1"/>
  <c r="AV120" i="3"/>
  <c r="AH90" i="3"/>
  <c r="AL90" i="3" s="1"/>
  <c r="V95" i="3"/>
  <c r="BC95" i="3" s="1"/>
  <c r="S95" i="3"/>
  <c r="U95" i="3" s="1"/>
  <c r="N96" i="3" s="1"/>
  <c r="P96" i="3" s="1"/>
  <c r="AI90" i="3" l="1"/>
  <c r="AK90" i="3" s="1"/>
  <c r="AD91" i="3" s="1"/>
  <c r="AX120" i="3"/>
  <c r="AF91" i="3"/>
  <c r="AE91" i="3"/>
  <c r="AG91" i="3" s="1"/>
  <c r="AH91" i="3" s="1"/>
  <c r="AL91" i="3" s="1"/>
  <c r="O96" i="3"/>
  <c r="Q96" i="3" s="1"/>
  <c r="BB120" i="3" l="1"/>
  <c r="AY120" i="3"/>
  <c r="BA120" i="3" s="1"/>
  <c r="AT121" i="3" s="1"/>
  <c r="AI91" i="3"/>
  <c r="R96" i="3"/>
  <c r="AU121" i="3" l="1"/>
  <c r="AW121" i="3" s="1"/>
  <c r="AV121" i="3"/>
  <c r="AK91" i="3"/>
  <c r="AD92" i="3" s="1"/>
  <c r="V96" i="3"/>
  <c r="BC96" i="3" s="1"/>
  <c r="S96" i="3"/>
  <c r="U96" i="3" s="1"/>
  <c r="N97" i="3" s="1"/>
  <c r="P97" i="3" s="1"/>
  <c r="AX121" i="3" l="1"/>
  <c r="AF92" i="3"/>
  <c r="AE92" i="3"/>
  <c r="AG92" i="3" s="1"/>
  <c r="AH92" i="3" s="1"/>
  <c r="AL92" i="3" s="1"/>
  <c r="O97" i="3"/>
  <c r="Q97" i="3" s="1"/>
  <c r="BB121" i="3" l="1"/>
  <c r="AY121" i="3"/>
  <c r="BA121" i="3" s="1"/>
  <c r="AT122" i="3" s="1"/>
  <c r="AI92" i="3"/>
  <c r="AK92" i="3" s="1"/>
  <c r="AD93" i="3" s="1"/>
  <c r="R97" i="3"/>
  <c r="AU122" i="3" l="1"/>
  <c r="AW122" i="3" s="1"/>
  <c r="AV122" i="3"/>
  <c r="AF93" i="3"/>
  <c r="AE93" i="3"/>
  <c r="AG93" i="3" s="1"/>
  <c r="AH93" i="3" s="1"/>
  <c r="AL93" i="3" s="1"/>
  <c r="V97" i="3"/>
  <c r="BC97" i="3" s="1"/>
  <c r="S97" i="3"/>
  <c r="U97" i="3" s="1"/>
  <c r="N98" i="3" s="1"/>
  <c r="P98" i="3" s="1"/>
  <c r="AX122" i="3" l="1"/>
  <c r="AI93" i="3"/>
  <c r="AK93" i="3" s="1"/>
  <c r="AD94" i="3" s="1"/>
  <c r="O98" i="3"/>
  <c r="Q98" i="3" s="1"/>
  <c r="BB122" i="3" l="1"/>
  <c r="AY122" i="3"/>
  <c r="BA122" i="3" s="1"/>
  <c r="AT123" i="3" s="1"/>
  <c r="AE94" i="3"/>
  <c r="AG94" i="3" s="1"/>
  <c r="AF94" i="3"/>
  <c r="R98" i="3"/>
  <c r="AV123" i="3" l="1"/>
  <c r="AU123" i="3"/>
  <c r="AW123" i="3" s="1"/>
  <c r="AX123" i="3" s="1"/>
  <c r="BB123" i="3" s="1"/>
  <c r="AH94" i="3"/>
  <c r="AL94" i="3" s="1"/>
  <c r="V98" i="3"/>
  <c r="BC98" i="3" s="1"/>
  <c r="S98" i="3"/>
  <c r="U98" i="3" s="1"/>
  <c r="N99" i="3" s="1"/>
  <c r="P99" i="3" s="1"/>
  <c r="AY123" i="3" l="1"/>
  <c r="BA123" i="3" s="1"/>
  <c r="AT124" i="3" s="1"/>
  <c r="AI94" i="3"/>
  <c r="AK94" i="3" s="1"/>
  <c r="AD95" i="3" s="1"/>
  <c r="O99" i="3"/>
  <c r="Q99" i="3" s="1"/>
  <c r="AV124" i="3" l="1"/>
  <c r="AU124" i="3"/>
  <c r="AW124" i="3" s="1"/>
  <c r="AX124" i="3" s="1"/>
  <c r="BB124" i="3" s="1"/>
  <c r="AY124" i="3"/>
  <c r="BA124" i="3" s="1"/>
  <c r="AT125" i="3" s="1"/>
  <c r="AF95" i="3"/>
  <c r="AE95" i="3"/>
  <c r="AG95" i="3" s="1"/>
  <c r="R99" i="3"/>
  <c r="AV125" i="3" l="1"/>
  <c r="AU125" i="3"/>
  <c r="AW125" i="3" s="1"/>
  <c r="AX125" i="3" s="1"/>
  <c r="BB125" i="3" s="1"/>
  <c r="AY125" i="3"/>
  <c r="BA125" i="3" s="1"/>
  <c r="AT126" i="3" s="1"/>
  <c r="AH95" i="3"/>
  <c r="V99" i="3"/>
  <c r="BC99" i="3" s="1"/>
  <c r="S99" i="3"/>
  <c r="U99" i="3" s="1"/>
  <c r="N100" i="3" s="1"/>
  <c r="P100" i="3" s="1"/>
  <c r="AV126" i="3" l="1"/>
  <c r="AU126" i="3"/>
  <c r="AW126" i="3" s="1"/>
  <c r="AX126" i="3" s="1"/>
  <c r="BB126" i="3" s="1"/>
  <c r="AY126" i="3"/>
  <c r="BA126" i="3" s="1"/>
  <c r="AT127" i="3" s="1"/>
  <c r="AL95" i="3"/>
  <c r="AI95" i="3"/>
  <c r="O100" i="3"/>
  <c r="Q100" i="3" s="1"/>
  <c r="AV127" i="3" l="1"/>
  <c r="AU127" i="3"/>
  <c r="AW127" i="3" s="1"/>
  <c r="AX127" i="3" s="1"/>
  <c r="BB127" i="3" s="1"/>
  <c r="AY127" i="3"/>
  <c r="BA127" i="3" s="1"/>
  <c r="AT128" i="3" s="1"/>
  <c r="AK95" i="3"/>
  <c r="AD96" i="3" s="1"/>
  <c r="R100" i="3"/>
  <c r="V100" i="3" s="1"/>
  <c r="BC100" i="3" s="1"/>
  <c r="AU128" i="3" l="1"/>
  <c r="AW128" i="3" s="1"/>
  <c r="AV128" i="3"/>
  <c r="AE96" i="3"/>
  <c r="AG96" i="3" s="1"/>
  <c r="AF96" i="3"/>
  <c r="S100" i="3"/>
  <c r="U100" i="3" s="1"/>
  <c r="N101" i="3" s="1"/>
  <c r="AX128" i="3" l="1"/>
  <c r="AH96" i="3"/>
  <c r="O101" i="3"/>
  <c r="Q101" i="3" s="1"/>
  <c r="R101" i="3" s="1"/>
  <c r="V101" i="3" s="1"/>
  <c r="BC101" i="3" s="1"/>
  <c r="P101" i="3"/>
  <c r="BB128" i="3" l="1"/>
  <c r="AY128" i="3"/>
  <c r="BA128" i="3" s="1"/>
  <c r="AT129" i="3" s="1"/>
  <c r="AL96" i="3"/>
  <c r="AI96" i="3"/>
  <c r="S101" i="3"/>
  <c r="U101" i="3" s="1"/>
  <c r="N102" i="3" s="1"/>
  <c r="AV129" i="3" l="1"/>
  <c r="AU129" i="3"/>
  <c r="AW129" i="3" s="1"/>
  <c r="AX129" i="3" s="1"/>
  <c r="BB129" i="3" s="1"/>
  <c r="AY129" i="3"/>
  <c r="BA129" i="3" s="1"/>
  <c r="AT130" i="3" s="1"/>
  <c r="AK96" i="3"/>
  <c r="AD97" i="3" s="1"/>
  <c r="O102" i="3"/>
  <c r="P102" i="3"/>
  <c r="AV130" i="3" l="1"/>
  <c r="AU130" i="3"/>
  <c r="AW130" i="3" s="1"/>
  <c r="AX130" i="3" s="1"/>
  <c r="BB130" i="3" s="1"/>
  <c r="AY130" i="3"/>
  <c r="BA130" i="3" s="1"/>
  <c r="AT131" i="3" s="1"/>
  <c r="AF97" i="3"/>
  <c r="AE97" i="3"/>
  <c r="AG97" i="3" s="1"/>
  <c r="Q102" i="3"/>
  <c r="R102" i="3" s="1"/>
  <c r="AV131" i="3" l="1"/>
  <c r="AU131" i="3"/>
  <c r="AW131" i="3" s="1"/>
  <c r="AX131" i="3" s="1"/>
  <c r="BB131" i="3" s="1"/>
  <c r="AY131" i="3"/>
  <c r="BA131" i="3" s="1"/>
  <c r="AT132" i="3" s="1"/>
  <c r="AH97" i="3"/>
  <c r="AL97" i="3" s="1"/>
  <c r="V102" i="3"/>
  <c r="BC102" i="3" s="1"/>
  <c r="S102" i="3"/>
  <c r="U102" i="3" s="1"/>
  <c r="N103" i="3" s="1"/>
  <c r="P103" i="3" s="1"/>
  <c r="AV132" i="3" l="1"/>
  <c r="AU132" i="3"/>
  <c r="AW132" i="3" s="1"/>
  <c r="AX132" i="3" s="1"/>
  <c r="BB132" i="3" s="1"/>
  <c r="AY132" i="3"/>
  <c r="BA132" i="3" s="1"/>
  <c r="AT133" i="3" s="1"/>
  <c r="AI97" i="3"/>
  <c r="AK97" i="3" s="1"/>
  <c r="AD98" i="3" s="1"/>
  <c r="AF98" i="3" s="1"/>
  <c r="O103" i="3"/>
  <c r="Q103" i="3" s="1"/>
  <c r="R103" i="3" s="1"/>
  <c r="AV133" i="3" l="1"/>
  <c r="AU133" i="3"/>
  <c r="AW133" i="3" s="1"/>
  <c r="AX133" i="3" s="1"/>
  <c r="BB133" i="3" s="1"/>
  <c r="AY133" i="3"/>
  <c r="BA133" i="3" s="1"/>
  <c r="AT134" i="3" s="1"/>
  <c r="AE98" i="3"/>
  <c r="AG98" i="3" s="1"/>
  <c r="AH98" i="3" s="1"/>
  <c r="AL98" i="3" s="1"/>
  <c r="V103" i="3"/>
  <c r="BC103" i="3" s="1"/>
  <c r="S103" i="3"/>
  <c r="U103" i="3" s="1"/>
  <c r="N104" i="3" s="1"/>
  <c r="P104" i="3" s="1"/>
  <c r="AV134" i="3" l="1"/>
  <c r="AU134" i="3"/>
  <c r="AW134" i="3" s="1"/>
  <c r="AX134" i="3" s="1"/>
  <c r="BB134" i="3" s="1"/>
  <c r="AY134" i="3"/>
  <c r="BA134" i="3" s="1"/>
  <c r="AT135" i="3" s="1"/>
  <c r="AI98" i="3"/>
  <c r="AK98" i="3"/>
  <c r="AD99" i="3" s="1"/>
  <c r="O104" i="3"/>
  <c r="Q104" i="3" s="1"/>
  <c r="AU135" i="3" l="1"/>
  <c r="AW135" i="3" s="1"/>
  <c r="AV135" i="3"/>
  <c r="AF99" i="3"/>
  <c r="AE99" i="3"/>
  <c r="AG99" i="3" s="1"/>
  <c r="R104" i="3"/>
  <c r="AX135" i="3" l="1"/>
  <c r="AH99" i="3"/>
  <c r="V104" i="3"/>
  <c r="BC104" i="3" s="1"/>
  <c r="S104" i="3"/>
  <c r="U104" i="3" s="1"/>
  <c r="N105" i="3" s="1"/>
  <c r="P105" i="3" s="1"/>
  <c r="BB135" i="3" l="1"/>
  <c r="AY135" i="3"/>
  <c r="BA135" i="3" s="1"/>
  <c r="AT136" i="3" s="1"/>
  <c r="AL99" i="3"/>
  <c r="AI99" i="3"/>
  <c r="AK99" i="3" s="1"/>
  <c r="AD100" i="3" s="1"/>
  <c r="AF100" i="3" s="1"/>
  <c r="O105" i="3"/>
  <c r="Q105" i="3" s="1"/>
  <c r="AU136" i="3" l="1"/>
  <c r="AW136" i="3" s="1"/>
  <c r="AV136" i="3"/>
  <c r="AE100" i="3"/>
  <c r="AG100" i="3" s="1"/>
  <c r="AH100" i="3"/>
  <c r="R105" i="3"/>
  <c r="AX136" i="3" l="1"/>
  <c r="AL100" i="3"/>
  <c r="AI100" i="3"/>
  <c r="AK100" i="3" s="1"/>
  <c r="AD101" i="3" s="1"/>
  <c r="AF101" i="3" s="1"/>
  <c r="V105" i="3"/>
  <c r="BC105" i="3" s="1"/>
  <c r="S105" i="3"/>
  <c r="U105" i="3" s="1"/>
  <c r="N106" i="3" s="1"/>
  <c r="P106" i="3" s="1"/>
  <c r="BB136" i="3" l="1"/>
  <c r="AY136" i="3"/>
  <c r="BA136" i="3" s="1"/>
  <c r="AT137" i="3" s="1"/>
  <c r="AE101" i="3"/>
  <c r="AG101" i="3" s="1"/>
  <c r="AH101" i="3" s="1"/>
  <c r="O106" i="3"/>
  <c r="Q106" i="3" s="1"/>
  <c r="AU137" i="3" l="1"/>
  <c r="AW137" i="3" s="1"/>
  <c r="AV137" i="3"/>
  <c r="AL101" i="3"/>
  <c r="AI101" i="3"/>
  <c r="AK101" i="3" s="1"/>
  <c r="AD102" i="3" s="1"/>
  <c r="AF102" i="3" s="1"/>
  <c r="R106" i="3"/>
  <c r="V106" i="3" s="1"/>
  <c r="BC106" i="3" s="1"/>
  <c r="AX137" i="3" l="1"/>
  <c r="AE102" i="3"/>
  <c r="AG102" i="3" s="1"/>
  <c r="AH102" i="3" s="1"/>
  <c r="AL102" i="3" s="1"/>
  <c r="S106" i="3"/>
  <c r="U106" i="3" s="1"/>
  <c r="N107" i="3" s="1"/>
  <c r="P107" i="3" s="1"/>
  <c r="BB137" i="3" l="1"/>
  <c r="AY137" i="3"/>
  <c r="BA137" i="3" s="1"/>
  <c r="AT138" i="3" s="1"/>
  <c r="AI102" i="3"/>
  <c r="AK102" i="3" s="1"/>
  <c r="AD103" i="3" s="1"/>
  <c r="AF103" i="3" s="1"/>
  <c r="O107" i="3"/>
  <c r="AU138" i="3" l="1"/>
  <c r="AW138" i="3" s="1"/>
  <c r="AV138" i="3"/>
  <c r="AE103" i="3"/>
  <c r="AG103" i="3" s="1"/>
  <c r="AH103" i="3" s="1"/>
  <c r="AL103" i="3" s="1"/>
  <c r="Q107" i="3"/>
  <c r="R107" i="3" s="1"/>
  <c r="AX138" i="3" l="1"/>
  <c r="AI103" i="3"/>
  <c r="AK103" i="3" s="1"/>
  <c r="AD104" i="3" s="1"/>
  <c r="AE104" i="3" s="1"/>
  <c r="AG104" i="3" s="1"/>
  <c r="AF104" i="3"/>
  <c r="V107" i="3"/>
  <c r="BC107" i="3" s="1"/>
  <c r="S107" i="3"/>
  <c r="U107" i="3" s="1"/>
  <c r="N108" i="3" s="1"/>
  <c r="P108" i="3" s="1"/>
  <c r="BB138" i="3" l="1"/>
  <c r="AY138" i="3"/>
  <c r="BA138" i="3" s="1"/>
  <c r="AT139" i="3" s="1"/>
  <c r="O108" i="3"/>
  <c r="AH104" i="3"/>
  <c r="Q108" i="3"/>
  <c r="R108" i="3" s="1"/>
  <c r="AU139" i="3" l="1"/>
  <c r="AW139" i="3" s="1"/>
  <c r="AV139" i="3"/>
  <c r="AL104" i="3"/>
  <c r="AI104" i="3"/>
  <c r="V108" i="3"/>
  <c r="BC108" i="3" s="1"/>
  <c r="S108" i="3"/>
  <c r="U108" i="3" s="1"/>
  <c r="N109" i="3" s="1"/>
  <c r="P109" i="3" s="1"/>
  <c r="AX139" i="3" l="1"/>
  <c r="O109" i="3"/>
  <c r="AK104" i="3"/>
  <c r="AD105" i="3" s="1"/>
  <c r="Q109" i="3"/>
  <c r="R109" i="3" s="1"/>
  <c r="BB139" i="3" l="1"/>
  <c r="AY139" i="3"/>
  <c r="BA139" i="3" s="1"/>
  <c r="AT140" i="3" s="1"/>
  <c r="AE105" i="3"/>
  <c r="AG105" i="3" s="1"/>
  <c r="AF105" i="3"/>
  <c r="V109" i="3"/>
  <c r="BC109" i="3" s="1"/>
  <c r="S109" i="3"/>
  <c r="U109" i="3" s="1"/>
  <c r="N110" i="3" s="1"/>
  <c r="P110" i="3" s="1"/>
  <c r="O110" i="3"/>
  <c r="AV140" i="3" l="1"/>
  <c r="AU140" i="3"/>
  <c r="AW140" i="3" s="1"/>
  <c r="AX140" i="3" s="1"/>
  <c r="BB140" i="3" s="1"/>
  <c r="AY140" i="3"/>
  <c r="BA140" i="3" s="1"/>
  <c r="AT141" i="3" s="1"/>
  <c r="AH105" i="3"/>
  <c r="Q110" i="3"/>
  <c r="R110" i="3" s="1"/>
  <c r="AU141" i="3" l="1"/>
  <c r="AW141" i="3" s="1"/>
  <c r="AV141" i="3"/>
  <c r="AL105" i="3"/>
  <c r="AI105" i="3"/>
  <c r="V110" i="3"/>
  <c r="BC110" i="3" s="1"/>
  <c r="S110" i="3"/>
  <c r="U110" i="3" s="1"/>
  <c r="N111" i="3" s="1"/>
  <c r="AX141" i="3" l="1"/>
  <c r="AK105" i="3"/>
  <c r="AD106" i="3" s="1"/>
  <c r="P111" i="3"/>
  <c r="O111" i="3"/>
  <c r="Q111" i="3" s="1"/>
  <c r="R111" i="3" s="1"/>
  <c r="V111" i="3" s="1"/>
  <c r="BC111" i="3" s="1"/>
  <c r="BB141" i="3" l="1"/>
  <c r="AY141" i="3"/>
  <c r="BA141" i="3" s="1"/>
  <c r="AT142" i="3" s="1"/>
  <c r="S111" i="3"/>
  <c r="U111" i="3" s="1"/>
  <c r="N112" i="3" s="1"/>
  <c r="P112" i="3" s="1"/>
  <c r="AF106" i="3"/>
  <c r="AE106" i="3"/>
  <c r="AG106" i="3" s="1"/>
  <c r="O112" i="3"/>
  <c r="Q112" i="3" s="1"/>
  <c r="AV142" i="3" l="1"/>
  <c r="AU142" i="3"/>
  <c r="AW142" i="3" s="1"/>
  <c r="AX142" i="3" s="1"/>
  <c r="BB142" i="3" s="1"/>
  <c r="AY142" i="3"/>
  <c r="BA142" i="3" s="1"/>
  <c r="AT143" i="3" s="1"/>
  <c r="AH106" i="3"/>
  <c r="R112" i="3"/>
  <c r="V112" i="3" s="1"/>
  <c r="BC112" i="3" s="1"/>
  <c r="S112" i="3"/>
  <c r="U112" i="3" s="1"/>
  <c r="N113" i="3" s="1"/>
  <c r="P113" i="3" s="1"/>
  <c r="AV143" i="3" l="1"/>
  <c r="AU143" i="3"/>
  <c r="AW143" i="3" s="1"/>
  <c r="AX143" i="3" s="1"/>
  <c r="BB143" i="3" s="1"/>
  <c r="AL106" i="3"/>
  <c r="AI106" i="3"/>
  <c r="AK106" i="3" s="1"/>
  <c r="AD107" i="3" s="1"/>
  <c r="AE107" i="3" s="1"/>
  <c r="AG107" i="3" s="1"/>
  <c r="AF107" i="3"/>
  <c r="O113" i="3"/>
  <c r="Q113" i="3" s="1"/>
  <c r="AY143" i="3" l="1"/>
  <c r="BA143" i="3" s="1"/>
  <c r="AT144" i="3" s="1"/>
  <c r="AH107" i="3"/>
  <c r="R113" i="3"/>
  <c r="V113" i="3" s="1"/>
  <c r="BC113" i="3" s="1"/>
  <c r="AV144" i="3" l="1"/>
  <c r="AU144" i="3"/>
  <c r="AW144" i="3" s="1"/>
  <c r="AX144" i="3" s="1"/>
  <c r="BB144" i="3" s="1"/>
  <c r="AY144" i="3"/>
  <c r="BA144" i="3" s="1"/>
  <c r="AL107" i="3"/>
  <c r="AI107" i="3"/>
  <c r="S113" i="3"/>
  <c r="U113" i="3" s="1"/>
  <c r="N114" i="3" s="1"/>
  <c r="P114" i="3" s="1"/>
  <c r="AK107" i="3" l="1"/>
  <c r="AD108" i="3" s="1"/>
  <c r="O114" i="3"/>
  <c r="Q114" i="3" s="1"/>
  <c r="R114" i="3" s="1"/>
  <c r="AF108" i="3" l="1"/>
  <c r="AE108" i="3"/>
  <c r="AG108" i="3" s="1"/>
  <c r="V114" i="3"/>
  <c r="BC114" i="3" s="1"/>
  <c r="S114" i="3"/>
  <c r="U114" i="3" s="1"/>
  <c r="N115" i="3" s="1"/>
  <c r="P115" i="3" s="1"/>
  <c r="AH108" i="3" l="1"/>
  <c r="O115" i="3"/>
  <c r="Q115" i="3" s="1"/>
  <c r="AL108" i="3" l="1"/>
  <c r="AI108" i="3"/>
  <c r="AK108" i="3" s="1"/>
  <c r="AD109" i="3" s="1"/>
  <c r="AF109" i="3"/>
  <c r="AE109" i="3"/>
  <c r="AG109" i="3" s="1"/>
  <c r="AH109" i="3" s="1"/>
  <c r="AL109" i="3" s="1"/>
  <c r="R115" i="3"/>
  <c r="AI109" i="3" l="1"/>
  <c r="AK109" i="3" s="1"/>
  <c r="AD110" i="3" s="1"/>
  <c r="S115" i="3"/>
  <c r="U115" i="3" s="1"/>
  <c r="N116" i="3" s="1"/>
  <c r="P116" i="3" s="1"/>
  <c r="V115" i="3"/>
  <c r="BC115" i="3" s="1"/>
  <c r="AF110" i="3" l="1"/>
  <c r="AE110" i="3"/>
  <c r="AG110" i="3" s="1"/>
  <c r="O116" i="3"/>
  <c r="Q116" i="3" s="1"/>
  <c r="AH110" i="3" l="1"/>
  <c r="R116" i="3"/>
  <c r="AL110" i="3" l="1"/>
  <c r="AI110" i="3"/>
  <c r="AK110" i="3" s="1"/>
  <c r="AD111" i="3" s="1"/>
  <c r="AE111" i="3" s="1"/>
  <c r="AG111" i="3" s="1"/>
  <c r="V116" i="3"/>
  <c r="BC116" i="3" s="1"/>
  <c r="S116" i="3"/>
  <c r="U116" i="3" s="1"/>
  <c r="N117" i="3" s="1"/>
  <c r="P117" i="3" s="1"/>
  <c r="AF111" i="3" l="1"/>
  <c r="AH111" i="3" s="1"/>
  <c r="O117" i="3"/>
  <c r="Q117" i="3" s="1"/>
  <c r="AL111" i="3" l="1"/>
  <c r="AI111" i="3"/>
  <c r="R117" i="3"/>
  <c r="V117" i="3" s="1"/>
  <c r="BC117" i="3" s="1"/>
  <c r="AK111" i="3" l="1"/>
  <c r="AD112" i="3" s="1"/>
  <c r="S117" i="3"/>
  <c r="U117" i="3" s="1"/>
  <c r="N118" i="3" s="1"/>
  <c r="AF112" i="3" l="1"/>
  <c r="AE112" i="3"/>
  <c r="AG112" i="3" s="1"/>
  <c r="O118" i="3"/>
  <c r="Q118" i="3" s="1"/>
  <c r="P118" i="3"/>
  <c r="R118" i="3" s="1"/>
  <c r="AH112" i="3" l="1"/>
  <c r="V118" i="3"/>
  <c r="BC118" i="3" s="1"/>
  <c r="S118" i="3"/>
  <c r="U118" i="3" s="1"/>
  <c r="N119" i="3" s="1"/>
  <c r="P119" i="3" s="1"/>
  <c r="AL112" i="3" l="1"/>
  <c r="AI112" i="3"/>
  <c r="AK112" i="3" s="1"/>
  <c r="AD113" i="3" s="1"/>
  <c r="AE113" i="3" s="1"/>
  <c r="AG113" i="3" s="1"/>
  <c r="O119" i="3"/>
  <c r="Q119" i="3" s="1"/>
  <c r="AF113" i="3" l="1"/>
  <c r="AH113" i="3"/>
  <c r="R119" i="3"/>
  <c r="AL113" i="3" l="1"/>
  <c r="AI113" i="3"/>
  <c r="V119" i="3"/>
  <c r="BC119" i="3" s="1"/>
  <c r="S119" i="3"/>
  <c r="U119" i="3" s="1"/>
  <c r="N120" i="3" s="1"/>
  <c r="P120" i="3" s="1"/>
  <c r="AK113" i="3" l="1"/>
  <c r="AD114" i="3" s="1"/>
  <c r="O120" i="3"/>
  <c r="Q120" i="3" s="1"/>
  <c r="AF114" i="3" l="1"/>
  <c r="AE114" i="3"/>
  <c r="AG114" i="3" s="1"/>
  <c r="AH114" i="3" s="1"/>
  <c r="AL114" i="3" s="1"/>
  <c r="R120" i="3"/>
  <c r="V120" i="3" s="1"/>
  <c r="BC120" i="3" s="1"/>
  <c r="AI114" i="3" l="1"/>
  <c r="S120" i="3"/>
  <c r="U120" i="3" s="1"/>
  <c r="N121" i="3" s="1"/>
  <c r="P121" i="3" s="1"/>
  <c r="AK114" i="3" l="1"/>
  <c r="AD115" i="3" s="1"/>
  <c r="O121" i="3"/>
  <c r="AF115" i="3" l="1"/>
  <c r="AE115" i="3"/>
  <c r="AG115" i="3" s="1"/>
  <c r="AH115" i="3" s="1"/>
  <c r="AL115" i="3" s="1"/>
  <c r="Q121" i="3"/>
  <c r="R121" i="3" s="1"/>
  <c r="AI115" i="3" l="1"/>
  <c r="AK115" i="3" s="1"/>
  <c r="AD116" i="3" s="1"/>
  <c r="V121" i="3"/>
  <c r="BC121" i="3" s="1"/>
  <c r="S121" i="3"/>
  <c r="U121" i="3" s="1"/>
  <c r="N122" i="3" s="1"/>
  <c r="AF116" i="3" l="1"/>
  <c r="AE116" i="3"/>
  <c r="AG116" i="3" s="1"/>
  <c r="P122" i="3"/>
  <c r="O122" i="3"/>
  <c r="AH116" i="3" l="1"/>
  <c r="AL116" i="3" s="1"/>
  <c r="Q122" i="3"/>
  <c r="R122" i="3" s="1"/>
  <c r="AI116" i="3" l="1"/>
  <c r="AK116" i="3"/>
  <c r="AD117" i="3" s="1"/>
  <c r="V122" i="3"/>
  <c r="S122" i="3"/>
  <c r="U122" i="3" s="1"/>
  <c r="N123" i="3" s="1"/>
  <c r="BC122" i="3" l="1"/>
  <c r="BD22" i="3" s="1"/>
  <c r="W22" i="3"/>
  <c r="AF117" i="3"/>
  <c r="AE117" i="3"/>
  <c r="AG117" i="3" s="1"/>
  <c r="P123" i="3"/>
  <c r="O123" i="3"/>
  <c r="Q123" i="3" s="1"/>
  <c r="R123" i="3" s="1"/>
  <c r="V123" i="3" s="1"/>
  <c r="BC123" i="3" s="1"/>
  <c r="S123" i="3"/>
  <c r="U123" i="3" s="1"/>
  <c r="N124" i="3" s="1"/>
  <c r="AH117" i="3" l="1"/>
  <c r="P124" i="3"/>
  <c r="O124" i="3"/>
  <c r="AL117" i="3" l="1"/>
  <c r="AI117" i="3"/>
  <c r="AK117" i="3" s="1"/>
  <c r="AD118" i="3" s="1"/>
  <c r="AF118" i="3" s="1"/>
  <c r="AE118" i="3"/>
  <c r="AG118" i="3" s="1"/>
  <c r="Q124" i="3"/>
  <c r="R124" i="3" s="1"/>
  <c r="AH118" i="3" l="1"/>
  <c r="AL118" i="3" s="1"/>
  <c r="AI118" i="3"/>
  <c r="AK118" i="3" s="1"/>
  <c r="AD119" i="3" s="1"/>
  <c r="V124" i="3"/>
  <c r="BC124" i="3" s="1"/>
  <c r="S124" i="3"/>
  <c r="U124" i="3" s="1"/>
  <c r="N125" i="3" s="1"/>
  <c r="AF119" i="3" l="1"/>
  <c r="AE119" i="3"/>
  <c r="AG119" i="3" s="1"/>
  <c r="P125" i="3"/>
  <c r="O125" i="3"/>
  <c r="Q125" i="3" s="1"/>
  <c r="R125" i="3" s="1"/>
  <c r="AH119" i="3" l="1"/>
  <c r="V125" i="3"/>
  <c r="BC125" i="3" s="1"/>
  <c r="S125" i="3"/>
  <c r="U125" i="3" s="1"/>
  <c r="N126" i="3" s="1"/>
  <c r="AL119" i="3" l="1"/>
  <c r="AI119" i="3"/>
  <c r="AK119" i="3" s="1"/>
  <c r="AD120" i="3" s="1"/>
  <c r="AE120" i="3" s="1"/>
  <c r="AG120" i="3" s="1"/>
  <c r="AF120" i="3"/>
  <c r="P126" i="3"/>
  <c r="O126" i="3"/>
  <c r="Q126" i="3" s="1"/>
  <c r="R126" i="3" s="1"/>
  <c r="V126" i="3" s="1"/>
  <c r="BC126" i="3" s="1"/>
  <c r="S126" i="3" l="1"/>
  <c r="U126" i="3" s="1"/>
  <c r="N127" i="3" s="1"/>
  <c r="O127" i="3" s="1"/>
  <c r="AH120" i="3"/>
  <c r="P127" i="3" l="1"/>
  <c r="AL120" i="3"/>
  <c r="AI120" i="3"/>
  <c r="Q127" i="3"/>
  <c r="R127" i="3" s="1"/>
  <c r="AK120" i="3" l="1"/>
  <c r="AD121" i="3" s="1"/>
  <c r="V127" i="3"/>
  <c r="BC127" i="3" s="1"/>
  <c r="S127" i="3"/>
  <c r="U127" i="3" s="1"/>
  <c r="N128" i="3" s="1"/>
  <c r="AF121" i="3" l="1"/>
  <c r="AE121" i="3"/>
  <c r="AG121" i="3" s="1"/>
  <c r="P128" i="3"/>
  <c r="O128" i="3"/>
  <c r="AH121" i="3" l="1"/>
  <c r="Q128" i="3"/>
  <c r="R128" i="3" s="1"/>
  <c r="AL121" i="3" l="1"/>
  <c r="AI121" i="3"/>
  <c r="V128" i="3"/>
  <c r="BC128" i="3" s="1"/>
  <c r="S128" i="3"/>
  <c r="U128" i="3" s="1"/>
  <c r="N129" i="3" s="1"/>
  <c r="AK121" i="3" l="1"/>
  <c r="AD122" i="3" s="1"/>
  <c r="P129" i="3"/>
  <c r="O129" i="3"/>
  <c r="AE122" i="3" l="1"/>
  <c r="AG122" i="3" s="1"/>
  <c r="AF122" i="3"/>
  <c r="Q129" i="3"/>
  <c r="R129" i="3" s="1"/>
  <c r="AH122" i="3" l="1"/>
  <c r="V129" i="3"/>
  <c r="BC129" i="3" s="1"/>
  <c r="S129" i="3"/>
  <c r="U129" i="3" s="1"/>
  <c r="N130" i="3" s="1"/>
  <c r="AL122" i="3" l="1"/>
  <c r="AM22" i="3" s="1"/>
  <c r="AI122" i="3"/>
  <c r="P130" i="3"/>
  <c r="O130" i="3"/>
  <c r="Q130" i="3" s="1"/>
  <c r="R130" i="3" s="1"/>
  <c r="V130" i="3" s="1"/>
  <c r="BC130" i="3" s="1"/>
  <c r="S130" i="3" l="1"/>
  <c r="U130" i="3" s="1"/>
  <c r="N131" i="3" s="1"/>
  <c r="O131" i="3" s="1"/>
  <c r="Q131" i="3" s="1"/>
  <c r="AK122" i="3"/>
  <c r="AD123" i="3" s="1"/>
  <c r="P131" i="3"/>
  <c r="R131" i="3" l="1"/>
  <c r="V131" i="3" s="1"/>
  <c r="BC131" i="3" s="1"/>
  <c r="AF123" i="3"/>
  <c r="AE123" i="3"/>
  <c r="AG123" i="3" s="1"/>
  <c r="AH123" i="3" s="1"/>
  <c r="AL123" i="3" s="1"/>
  <c r="S131" i="3" l="1"/>
  <c r="U131" i="3" s="1"/>
  <c r="N132" i="3" s="1"/>
  <c r="AI123" i="3"/>
  <c r="AK123" i="3" s="1"/>
  <c r="AD124" i="3" s="1"/>
  <c r="P132" i="3"/>
  <c r="O132" i="3"/>
  <c r="Q132" i="3" s="1"/>
  <c r="R132" i="3" s="1"/>
  <c r="V132" i="3" s="1"/>
  <c r="BC132" i="3" s="1"/>
  <c r="S132" i="3"/>
  <c r="U132" i="3" s="1"/>
  <c r="N133" i="3" s="1"/>
  <c r="P133" i="3" s="1"/>
  <c r="AE124" i="3" l="1"/>
  <c r="AG124" i="3" s="1"/>
  <c r="AF124" i="3"/>
  <c r="O133" i="3"/>
  <c r="Q133" i="3" s="1"/>
  <c r="AH124" i="3" l="1"/>
  <c r="R133" i="3"/>
  <c r="AL124" i="3" l="1"/>
  <c r="AI124" i="3"/>
  <c r="V133" i="3"/>
  <c r="BC133" i="3" s="1"/>
  <c r="S133" i="3"/>
  <c r="U133" i="3" s="1"/>
  <c r="N134" i="3" s="1"/>
  <c r="P134" i="3" s="1"/>
  <c r="AK124" i="3" l="1"/>
  <c r="AD125" i="3" s="1"/>
  <c r="O134" i="3"/>
  <c r="Q134" i="3" s="1"/>
  <c r="AF125" i="3" l="1"/>
  <c r="AE125" i="3"/>
  <c r="AG125" i="3" s="1"/>
  <c r="R134" i="3"/>
  <c r="AH125" i="3" l="1"/>
  <c r="V134" i="3"/>
  <c r="BC134" i="3" s="1"/>
  <c r="S134" i="3"/>
  <c r="U134" i="3" s="1"/>
  <c r="N135" i="3" s="1"/>
  <c r="P135" i="3" s="1"/>
  <c r="AL125" i="3" l="1"/>
  <c r="AI125" i="3"/>
  <c r="AK125" i="3" s="1"/>
  <c r="AD126" i="3" s="1"/>
  <c r="AF126" i="3" s="1"/>
  <c r="O135" i="3"/>
  <c r="Q135" i="3" s="1"/>
  <c r="AE126" i="3" l="1"/>
  <c r="AG126" i="3" s="1"/>
  <c r="AH126" i="3" s="1"/>
  <c r="AL126" i="3" s="1"/>
  <c r="R135" i="3"/>
  <c r="AI126" i="3" l="1"/>
  <c r="AK126" i="3" s="1"/>
  <c r="AD127" i="3" s="1"/>
  <c r="AF127" i="3" s="1"/>
  <c r="V135" i="3"/>
  <c r="BC135" i="3" s="1"/>
  <c r="S135" i="3"/>
  <c r="U135" i="3" s="1"/>
  <c r="N136" i="3" s="1"/>
  <c r="P136" i="3" s="1"/>
  <c r="AE127" i="3" l="1"/>
  <c r="AG127" i="3" s="1"/>
  <c r="AH127" i="3" s="1"/>
  <c r="AL127" i="3" s="1"/>
  <c r="O136" i="3"/>
  <c r="AI127" i="3" l="1"/>
  <c r="AK127" i="3" s="1"/>
  <c r="AD128" i="3" s="1"/>
  <c r="AF128" i="3" s="1"/>
  <c r="Q136" i="3"/>
  <c r="R136" i="3" s="1"/>
  <c r="AE128" i="3" l="1"/>
  <c r="AG128" i="3" s="1"/>
  <c r="AH128" i="3" s="1"/>
  <c r="AL128" i="3" s="1"/>
  <c r="V136" i="3"/>
  <c r="BC136" i="3" s="1"/>
  <c r="S136" i="3"/>
  <c r="U136" i="3" s="1"/>
  <c r="N137" i="3" s="1"/>
  <c r="P137" i="3" s="1"/>
  <c r="O137" i="3"/>
  <c r="AI128" i="3" l="1"/>
  <c r="AK128" i="3" s="1"/>
  <c r="AD129" i="3" s="1"/>
  <c r="Q137" i="3"/>
  <c r="R137" i="3" s="1"/>
  <c r="AF129" i="3" l="1"/>
  <c r="AE129" i="3"/>
  <c r="AG129" i="3" s="1"/>
  <c r="AH129" i="3" s="1"/>
  <c r="AL129" i="3" s="1"/>
  <c r="V137" i="3"/>
  <c r="BC137" i="3" s="1"/>
  <c r="S137" i="3"/>
  <c r="U137" i="3" s="1"/>
  <c r="N138" i="3" s="1"/>
  <c r="P138" i="3" s="1"/>
  <c r="O138" i="3" l="1"/>
  <c r="AI129" i="3"/>
  <c r="AK129" i="3"/>
  <c r="AD130" i="3" s="1"/>
  <c r="Q138" i="3"/>
  <c r="R138" i="3" s="1"/>
  <c r="AE130" i="3" l="1"/>
  <c r="AG130" i="3" s="1"/>
  <c r="AF130" i="3"/>
  <c r="V138" i="3"/>
  <c r="BC138" i="3" s="1"/>
  <c r="S138" i="3"/>
  <c r="U138" i="3" s="1"/>
  <c r="N139" i="3" s="1"/>
  <c r="AH130" i="3" l="1"/>
  <c r="O139" i="3"/>
  <c r="Q139" i="3" s="1"/>
  <c r="P139" i="3"/>
  <c r="AL130" i="3" l="1"/>
  <c r="AI130" i="3"/>
  <c r="R139" i="3"/>
  <c r="AK130" i="3" l="1"/>
  <c r="AD131" i="3" s="1"/>
  <c r="V139" i="3"/>
  <c r="BC139" i="3" s="1"/>
  <c r="S139" i="3"/>
  <c r="U139" i="3" s="1"/>
  <c r="N140" i="3" s="1"/>
  <c r="AE131" i="3" l="1"/>
  <c r="AG131" i="3" s="1"/>
  <c r="AF131" i="3"/>
  <c r="P140" i="3"/>
  <c r="O140" i="3"/>
  <c r="Q140" i="3" s="1"/>
  <c r="R140" i="3" s="1"/>
  <c r="AH131" i="3" l="1"/>
  <c r="V140" i="3"/>
  <c r="BC140" i="3" s="1"/>
  <c r="S140" i="3"/>
  <c r="U140" i="3" s="1"/>
  <c r="N141" i="3" s="1"/>
  <c r="AL131" i="3" l="1"/>
  <c r="AI131" i="3"/>
  <c r="P141" i="3"/>
  <c r="O141" i="3"/>
  <c r="Q141" i="3" s="1"/>
  <c r="R141" i="3" s="1"/>
  <c r="V141" i="3" s="1"/>
  <c r="BC141" i="3" s="1"/>
  <c r="S141" i="3"/>
  <c r="U141" i="3" s="1"/>
  <c r="N142" i="3" s="1"/>
  <c r="P142" i="3" s="1"/>
  <c r="AK131" i="3" l="1"/>
  <c r="AD132" i="3" s="1"/>
  <c r="O142" i="3"/>
  <c r="AF132" i="3" l="1"/>
  <c r="AE132" i="3"/>
  <c r="AG132" i="3" s="1"/>
  <c r="Q142" i="3"/>
  <c r="R142" i="3" s="1"/>
  <c r="AH132" i="3" l="1"/>
  <c r="V142" i="3"/>
  <c r="BC142" i="3" s="1"/>
  <c r="S142" i="3"/>
  <c r="U142" i="3" s="1"/>
  <c r="N143" i="3" s="1"/>
  <c r="P143" i="3" s="1"/>
  <c r="O143" i="3"/>
  <c r="AL132" i="3" l="1"/>
  <c r="AI132" i="3"/>
  <c r="AK132" i="3" s="1"/>
  <c r="AD133" i="3" s="1"/>
  <c r="AE133" i="3" s="1"/>
  <c r="AG133" i="3" s="1"/>
  <c r="Q143" i="3"/>
  <c r="R143" i="3" s="1"/>
  <c r="AF133" i="3" l="1"/>
  <c r="AH133" i="3" s="1"/>
  <c r="V143" i="3"/>
  <c r="BC143" i="3" s="1"/>
  <c r="S143" i="3"/>
  <c r="U143" i="3" s="1"/>
  <c r="N144" i="3" s="1"/>
  <c r="P144" i="3" s="1"/>
  <c r="O144" i="3" l="1"/>
  <c r="Q144" i="3" s="1"/>
  <c r="AL133" i="3"/>
  <c r="AI133" i="3"/>
  <c r="AK133" i="3" s="1"/>
  <c r="AD134" i="3" s="1"/>
  <c r="AE134" i="3" s="1"/>
  <c r="AG134" i="3" s="1"/>
  <c r="AF134" i="3"/>
  <c r="R144" i="3"/>
  <c r="AH134" i="3" l="1"/>
  <c r="V144" i="3"/>
  <c r="BC144" i="3" s="1"/>
  <c r="BC22" i="3" s="1"/>
  <c r="S144" i="3"/>
  <c r="U144" i="3" s="1"/>
  <c r="AL134" i="3" l="1"/>
  <c r="AI134" i="3"/>
  <c r="AK134" i="3" l="1"/>
  <c r="AD135" i="3" s="1"/>
  <c r="AE135" i="3" l="1"/>
  <c r="AG135" i="3" s="1"/>
  <c r="AF135" i="3"/>
  <c r="AH135" i="3" l="1"/>
  <c r="AL135" i="3" l="1"/>
  <c r="AI135" i="3"/>
  <c r="AK135" i="3" l="1"/>
  <c r="AD136" i="3" s="1"/>
  <c r="AE136" i="3" l="1"/>
  <c r="AG136" i="3" s="1"/>
  <c r="AF136" i="3"/>
  <c r="AH136" i="3" l="1"/>
  <c r="AL136" i="3" l="1"/>
  <c r="AI136" i="3"/>
  <c r="AK136" i="3" l="1"/>
  <c r="AD137" i="3" s="1"/>
  <c r="AE137" i="3" l="1"/>
  <c r="AG137" i="3" s="1"/>
  <c r="AF137" i="3"/>
  <c r="AH137" i="3" l="1"/>
  <c r="AL137" i="3" l="1"/>
  <c r="AI137" i="3"/>
  <c r="AK137" i="3" l="1"/>
  <c r="AD138" i="3" s="1"/>
  <c r="AF138" i="3" l="1"/>
  <c r="AE138" i="3"/>
  <c r="AG138" i="3" s="1"/>
  <c r="AH138" i="3" s="1"/>
  <c r="AL138" i="3" s="1"/>
  <c r="AI138" i="3"/>
  <c r="AK138" i="3" l="1"/>
  <c r="AD139" i="3" s="1"/>
  <c r="AE139" i="3" l="1"/>
  <c r="AG139" i="3" s="1"/>
  <c r="AF139" i="3"/>
  <c r="AH139" i="3" l="1"/>
  <c r="AL139" i="3" l="1"/>
  <c r="AI139" i="3"/>
  <c r="AK139" i="3" l="1"/>
  <c r="AD140" i="3" s="1"/>
  <c r="AE140" i="3" l="1"/>
  <c r="AG140" i="3" s="1"/>
  <c r="AF140" i="3"/>
  <c r="AH140" i="3" l="1"/>
  <c r="AL140" i="3" l="1"/>
  <c r="AI140" i="3"/>
  <c r="AK140" i="3" l="1"/>
  <c r="AD141" i="3" s="1"/>
  <c r="AE141" i="3" l="1"/>
  <c r="AG141" i="3" s="1"/>
  <c r="AF141" i="3"/>
  <c r="AH141" i="3" l="1"/>
  <c r="AL141" i="3" l="1"/>
  <c r="AI141" i="3"/>
  <c r="AK141" i="3" l="1"/>
  <c r="AD142" i="3" s="1"/>
  <c r="AF142" i="3" l="1"/>
  <c r="AE142" i="3"/>
  <c r="AG142" i="3" s="1"/>
  <c r="AH142" i="3" l="1"/>
  <c r="AL142" i="3" s="1"/>
  <c r="AI142" i="3" l="1"/>
  <c r="AK142" i="3" s="1"/>
  <c r="AD143" i="3" s="1"/>
  <c r="AF143" i="3" s="1"/>
  <c r="AE143" i="3"/>
  <c r="AG143" i="3" s="1"/>
  <c r="AH143" i="3" l="1"/>
  <c r="AL143" i="3" l="1"/>
  <c r="AI143" i="3"/>
  <c r="AK143" i="3" s="1"/>
  <c r="AD144" i="3" s="1"/>
  <c r="AF144" i="3"/>
  <c r="AE144" i="3"/>
  <c r="AG144" i="3" s="1"/>
  <c r="AH144" i="3" l="1"/>
  <c r="AL144" i="3" s="1"/>
  <c r="AI144" i="3" l="1"/>
  <c r="AK144" i="3" s="1"/>
</calcChain>
</file>

<file path=xl/sharedStrings.xml><?xml version="1.0" encoding="utf-8"?>
<sst xmlns="http://schemas.openxmlformats.org/spreadsheetml/2006/main" count="76" uniqueCount="39">
  <si>
    <t>i</t>
  </si>
  <si>
    <t>E.A</t>
  </si>
  <si>
    <t>E.M</t>
  </si>
  <si>
    <t>CAP</t>
  </si>
  <si>
    <t>A</t>
  </si>
  <si>
    <t>(P/F,0,80%,36)</t>
  </si>
  <si>
    <t>Inflacion</t>
  </si>
  <si>
    <t>UVRs</t>
  </si>
  <si>
    <t>UVR +</t>
  </si>
  <si>
    <t>Plazo</t>
  </si>
  <si>
    <t>meses</t>
  </si>
  <si>
    <t xml:space="preserve">Periodos </t>
  </si>
  <si>
    <t>Saldo Inicial</t>
  </si>
  <si>
    <t>Intereses</t>
  </si>
  <si>
    <t>Saldo ini + Intereses</t>
  </si>
  <si>
    <t>Cuotas</t>
  </si>
  <si>
    <t>Saldo final</t>
  </si>
  <si>
    <t>Abono a K</t>
  </si>
  <si>
    <t>i mensual</t>
  </si>
  <si>
    <t>(P/A,0,80%,84)</t>
  </si>
  <si>
    <t>Interes</t>
  </si>
  <si>
    <t>Intereses Inflacion</t>
  </si>
  <si>
    <t>Intereses Totales</t>
  </si>
  <si>
    <t>Saldo Inicial + Intereses Totales</t>
  </si>
  <si>
    <t>Cuota</t>
  </si>
  <si>
    <t>F de Caja UVRs</t>
  </si>
  <si>
    <t>Tir UVR</t>
  </si>
  <si>
    <t>F de Caja Pesos</t>
  </si>
  <si>
    <t>Tir Pesos</t>
  </si>
  <si>
    <t>(P/F,001%,48)</t>
  </si>
  <si>
    <t>(P/F,001%,60)</t>
  </si>
  <si>
    <t>Abonos</t>
  </si>
  <si>
    <t>COP ARIMA</t>
  </si>
  <si>
    <t>COP MBG</t>
  </si>
  <si>
    <t>Monto del Credito: 1.000.000 UVRs; Plazo: 120 meses; Tasa de Interes es UVR + 10% E.A; Sistema de Amortizacion: Cuotas fijas mensuales en UVRs; Periodo de Gracia de 3 años; Abonos programados por 50.000 UVRs en los periodos 48 y 60</t>
  </si>
  <si>
    <t xml:space="preserve">UVRs </t>
  </si>
  <si>
    <t>COP SARIMAX</t>
  </si>
  <si>
    <t>TIR UVR</t>
  </si>
  <si>
    <t>TIR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</si>
</sst>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0.000%"/>
    <numFmt numFmtId="165" formatCode="0.0000%"/>
    <numFmt numFmtId="166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4" fontId="0" fillId="0" borderId="1" xfId="0" applyNumberForma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A56-84BF-47CF-8CCE-8ED3F8A6546A}">
  <dimension ref="B2:BD145"/>
  <sheetViews>
    <sheetView tabSelected="1" topLeftCell="A80" workbookViewId="0">
      <selection activeCell="I141" sqref="I141"/>
    </sheetView>
  </sheetViews>
  <sheetFormatPr baseColWidth="10" defaultRowHeight="14.5" x14ac:dyDescent="0.35"/>
  <cols>
    <col min="1" max="1" width="10.90625" style="9"/>
    <col min="2" max="2" width="14" style="9" bestFit="1" customWidth="1"/>
    <col min="3" max="3" width="14.54296875" style="9" bestFit="1" customWidth="1"/>
    <col min="4" max="4" width="12" style="9" bestFit="1" customWidth="1"/>
    <col min="5" max="5" width="18.81640625" style="9" bestFit="1" customWidth="1"/>
    <col min="6" max="6" width="12" style="9" bestFit="1" customWidth="1"/>
    <col min="7" max="7" width="14.54296875" style="9" bestFit="1" customWidth="1"/>
    <col min="8" max="8" width="12" style="9" bestFit="1" customWidth="1"/>
    <col min="9" max="13" width="12" style="9" customWidth="1"/>
    <col min="14" max="14" width="16.7265625" style="9" bestFit="1" customWidth="1"/>
    <col min="15" max="16" width="14.54296875" style="9" bestFit="1" customWidth="1"/>
    <col min="17" max="17" width="17.54296875" style="9" bestFit="1" customWidth="1"/>
    <col min="18" max="18" width="16.7265625" style="9" bestFit="1" customWidth="1"/>
    <col min="19" max="19" width="29" style="9" bestFit="1" customWidth="1"/>
    <col min="20" max="20" width="15.54296875" style="9" bestFit="1" customWidth="1"/>
    <col min="21" max="22" width="16.7265625" style="9" bestFit="1" customWidth="1"/>
    <col min="23" max="23" width="15.54296875" style="9" customWidth="1"/>
    <col min="24" max="24" width="16.7265625" style="9" bestFit="1" customWidth="1"/>
    <col min="25" max="27" width="15.54296875" style="9" customWidth="1"/>
    <col min="28" max="29" width="16.7265625" style="9" bestFit="1" customWidth="1"/>
    <col min="30" max="30" width="18.81640625" style="9" bestFit="1" customWidth="1"/>
    <col min="31" max="33" width="16.7265625" style="9" bestFit="1" customWidth="1"/>
    <col min="34" max="34" width="20.26953125" style="9" bestFit="1" customWidth="1"/>
    <col min="35" max="35" width="29" style="9" bestFit="1" customWidth="1"/>
    <col min="36" max="36" width="22" style="9" bestFit="1" customWidth="1"/>
    <col min="37" max="37" width="23" style="9" bestFit="1" customWidth="1"/>
    <col min="38" max="38" width="22" style="9" bestFit="1" customWidth="1"/>
    <col min="39" max="39" width="15.54296875" style="9" bestFit="1" customWidth="1"/>
    <col min="40" max="40" width="22" style="9" bestFit="1" customWidth="1"/>
    <col min="41" max="41" width="14.54296875" style="9" bestFit="1" customWidth="1"/>
    <col min="42" max="42" width="14.54296875" style="9" customWidth="1"/>
    <col min="43" max="43" width="18.81640625" style="9" bestFit="1" customWidth="1"/>
    <col min="44" max="45" width="14.54296875" style="9" bestFit="1" customWidth="1"/>
    <col min="46" max="46" width="19.7265625" style="9" bestFit="1" customWidth="1"/>
    <col min="47" max="47" width="17.7265625" style="9" bestFit="1" customWidth="1"/>
    <col min="48" max="49" width="16.1796875" style="9" bestFit="1" customWidth="1"/>
    <col min="50" max="50" width="17.7265625" style="9" bestFit="1" customWidth="1"/>
    <col min="51" max="51" width="26.90625" style="9" bestFit="1" customWidth="1"/>
    <col min="52" max="52" width="18.7265625" style="9" bestFit="1" customWidth="1"/>
    <col min="53" max="53" width="19.7265625" style="9" bestFit="1" customWidth="1"/>
    <col min="54" max="54" width="18.7265625" style="9" bestFit="1" customWidth="1"/>
    <col min="55" max="55" width="15.08984375" style="9" bestFit="1" customWidth="1"/>
    <col min="56" max="56" width="18.7265625" style="9" bestFit="1" customWidth="1"/>
    <col min="57" max="16384" width="10.90625" style="9"/>
  </cols>
  <sheetData>
    <row r="2" spans="2:42" x14ac:dyDescent="0.35">
      <c r="B2" s="5" t="s">
        <v>34</v>
      </c>
      <c r="C2" s="5"/>
      <c r="D2" s="5"/>
      <c r="E2" s="5"/>
    </row>
    <row r="3" spans="2:42" x14ac:dyDescent="0.35">
      <c r="B3" s="5"/>
      <c r="C3" s="5"/>
      <c r="D3" s="5"/>
      <c r="E3" s="5"/>
    </row>
    <row r="4" spans="2:42" x14ac:dyDescent="0.35">
      <c r="B4" s="5"/>
      <c r="C4" s="5"/>
      <c r="D4" s="5"/>
      <c r="E4" s="5"/>
    </row>
    <row r="5" spans="2:42" x14ac:dyDescent="0.35">
      <c r="B5" s="5"/>
      <c r="C5" s="5"/>
      <c r="D5" s="5"/>
      <c r="E5" s="5"/>
    </row>
    <row r="6" spans="2:42" x14ac:dyDescent="0.35">
      <c r="B6" s="5"/>
      <c r="C6" s="5"/>
      <c r="D6" s="5"/>
      <c r="E6" s="5"/>
    </row>
    <row r="7" spans="2:42" x14ac:dyDescent="0.35">
      <c r="B7" s="5"/>
      <c r="C7" s="5"/>
      <c r="D7" s="5"/>
      <c r="E7" s="5"/>
      <c r="AB7" s="10"/>
      <c r="AD7" s="10"/>
    </row>
    <row r="8" spans="2:42" x14ac:dyDescent="0.35">
      <c r="B8" s="5"/>
      <c r="C8" s="5"/>
      <c r="D8" s="5"/>
      <c r="E8" s="5"/>
      <c r="AC8" s="11"/>
    </row>
    <row r="9" spans="2:42" x14ac:dyDescent="0.35">
      <c r="AG9" s="11"/>
    </row>
    <row r="10" spans="2:42" x14ac:dyDescent="0.35">
      <c r="B10" s="9" t="s">
        <v>3</v>
      </c>
      <c r="C10" s="10">
        <v>1000000</v>
      </c>
      <c r="D10" s="9" t="s">
        <v>7</v>
      </c>
      <c r="AB10" s="12"/>
      <c r="AG10" s="13"/>
    </row>
    <row r="11" spans="2:42" x14ac:dyDescent="0.35">
      <c r="B11" s="9" t="s">
        <v>0</v>
      </c>
      <c r="C11" s="9" t="s">
        <v>8</v>
      </c>
      <c r="D11" s="11">
        <v>0.1</v>
      </c>
      <c r="E11" s="9" t="s">
        <v>1</v>
      </c>
      <c r="AB11" s="12"/>
    </row>
    <row r="12" spans="2:42" x14ac:dyDescent="0.35">
      <c r="B12" s="9" t="s">
        <v>9</v>
      </c>
      <c r="C12" s="9">
        <v>120</v>
      </c>
      <c r="D12" s="9" t="s">
        <v>10</v>
      </c>
      <c r="AE12" s="10"/>
    </row>
    <row r="13" spans="2:42" x14ac:dyDescent="0.35">
      <c r="B13" s="9" t="s">
        <v>18</v>
      </c>
      <c r="C13" s="12">
        <f>+(1+D11)^(1/12)-1</f>
        <v>7.9741404289037643E-3</v>
      </c>
      <c r="D13" s="9" t="s">
        <v>2</v>
      </c>
      <c r="AE13" s="10"/>
    </row>
    <row r="14" spans="2:42" x14ac:dyDescent="0.35">
      <c r="B14" s="9" t="s">
        <v>31</v>
      </c>
      <c r="C14" s="10">
        <v>50000</v>
      </c>
      <c r="AB14" s="12"/>
      <c r="AE14" s="10"/>
    </row>
    <row r="15" spans="2:42" x14ac:dyDescent="0.35">
      <c r="B15" s="9" t="s">
        <v>19</v>
      </c>
      <c r="C15" s="9">
        <v>61.052584427112031</v>
      </c>
      <c r="E15" s="9" t="s">
        <v>4</v>
      </c>
      <c r="F15" s="10">
        <f>+(C10-C14*(C17+C18))/(C16*C15)</f>
        <v>20379.532695807367</v>
      </c>
      <c r="G15" s="9" t="s">
        <v>7</v>
      </c>
      <c r="AO15" s="10"/>
      <c r="AP15" s="10"/>
    </row>
    <row r="16" spans="2:42" x14ac:dyDescent="0.35">
      <c r="B16" s="9" t="s">
        <v>5</v>
      </c>
      <c r="C16" s="9">
        <v>0.75131480090157698</v>
      </c>
      <c r="P16" s="11"/>
    </row>
    <row r="17" spans="2:56" x14ac:dyDescent="0.35">
      <c r="B17" s="9" t="s">
        <v>29</v>
      </c>
      <c r="C17" s="9">
        <v>0.68301345536506974</v>
      </c>
      <c r="H17" s="12"/>
      <c r="I17" s="12"/>
      <c r="J17" s="12"/>
      <c r="K17" s="12"/>
      <c r="P17" s="13"/>
      <c r="W17" s="14"/>
      <c r="X17" s="14"/>
      <c r="AH17" s="14"/>
    </row>
    <row r="18" spans="2:56" x14ac:dyDescent="0.35">
      <c r="B18" s="9" t="s">
        <v>30</v>
      </c>
      <c r="C18" s="9">
        <v>0.62092132305915415</v>
      </c>
      <c r="H18" s="12"/>
      <c r="I18" s="12"/>
      <c r="J18" s="12"/>
      <c r="K18" s="12"/>
      <c r="P18" s="13"/>
      <c r="W18" s="14"/>
      <c r="X18" s="14"/>
      <c r="AH18" s="14"/>
    </row>
    <row r="19" spans="2:56" x14ac:dyDescent="0.35">
      <c r="C19" s="12"/>
      <c r="H19" s="12"/>
      <c r="I19" s="12"/>
      <c r="J19" s="12"/>
      <c r="K19" s="12"/>
      <c r="P19" s="13"/>
      <c r="W19" s="14"/>
      <c r="X19" s="14"/>
      <c r="AH19" s="14"/>
    </row>
    <row r="20" spans="2:56" x14ac:dyDescent="0.35">
      <c r="C20" s="12"/>
      <c r="H20" s="12"/>
      <c r="I20" s="12"/>
      <c r="J20" s="12"/>
      <c r="K20" s="12"/>
      <c r="P20" s="13"/>
      <c r="W20" s="14"/>
      <c r="X20" s="14"/>
      <c r="AC20" s="15"/>
      <c r="AH20" s="14"/>
    </row>
    <row r="21" spans="2:56" x14ac:dyDescent="0.35">
      <c r="R21" s="16"/>
      <c r="T21" s="10"/>
      <c r="V21" s="10"/>
      <c r="W21" s="9" t="s">
        <v>26</v>
      </c>
      <c r="X21" s="9" t="s">
        <v>28</v>
      </c>
      <c r="AH21" s="16"/>
      <c r="AJ21" s="10"/>
      <c r="AL21" s="10"/>
      <c r="AM21" s="9" t="s">
        <v>26</v>
      </c>
      <c r="AN21" s="9" t="s">
        <v>28</v>
      </c>
      <c r="BC21" s="9" t="s">
        <v>37</v>
      </c>
      <c r="BD21" s="9" t="s">
        <v>38</v>
      </c>
    </row>
    <row r="22" spans="2:56" x14ac:dyDescent="0.35">
      <c r="B22" s="4" t="s">
        <v>35</v>
      </c>
      <c r="C22" s="4"/>
      <c r="D22" s="4"/>
      <c r="E22" s="4"/>
      <c r="F22" s="4"/>
      <c r="G22" s="4"/>
      <c r="H22" s="4"/>
      <c r="I22" s="1"/>
      <c r="J22" s="1"/>
      <c r="K22" s="4" t="s">
        <v>32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>
        <f>+IRR(W24:W144)</f>
        <v>7.9741404289037643E-3</v>
      </c>
      <c r="X22" s="3">
        <f>+IRR(X24:X144)</f>
        <v>1.1136861309374302E-2</v>
      </c>
      <c r="Y22" s="1"/>
      <c r="Z22" s="1"/>
      <c r="AA22" s="6" t="s">
        <v>33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3">
        <f>+IRR(AM24:AM144)</f>
        <v>7.9741404289037643E-3</v>
      </c>
      <c r="AN22" s="3">
        <f>+IRR(AN24:AN144)</f>
        <v>1.2729426392601662E-2</v>
      </c>
      <c r="AQ22" s="4" t="s">
        <v>36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">
        <f>+IRR(BC24:BC144)</f>
        <v>1.7908066774052545E-2</v>
      </c>
      <c r="BD22" s="3">
        <f>+IRR(BD24:BD144)</f>
        <v>1.1960698681665383E-2</v>
      </c>
    </row>
    <row r="23" spans="2:56" x14ac:dyDescent="0.35"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K23" s="2" t="s">
        <v>11</v>
      </c>
      <c r="L23" s="2" t="s">
        <v>7</v>
      </c>
      <c r="M23" s="2" t="s">
        <v>6</v>
      </c>
      <c r="N23" s="2" t="s">
        <v>12</v>
      </c>
      <c r="O23" s="2" t="s">
        <v>20</v>
      </c>
      <c r="P23" s="2" t="s">
        <v>6</v>
      </c>
      <c r="Q23" s="2" t="s">
        <v>21</v>
      </c>
      <c r="R23" s="2" t="s">
        <v>22</v>
      </c>
      <c r="S23" s="2" t="s">
        <v>23</v>
      </c>
      <c r="T23" s="2" t="s">
        <v>24</v>
      </c>
      <c r="U23" s="2" t="s">
        <v>16</v>
      </c>
      <c r="V23" s="2" t="s">
        <v>17</v>
      </c>
      <c r="W23" s="9" t="s">
        <v>25</v>
      </c>
      <c r="X23" s="9" t="s">
        <v>27</v>
      </c>
      <c r="AA23" s="2" t="s">
        <v>11</v>
      </c>
      <c r="AB23" s="2" t="s">
        <v>7</v>
      </c>
      <c r="AC23" s="2" t="s">
        <v>6</v>
      </c>
      <c r="AD23" s="2" t="s">
        <v>12</v>
      </c>
      <c r="AE23" s="2" t="s">
        <v>20</v>
      </c>
      <c r="AF23" s="2" t="s">
        <v>6</v>
      </c>
      <c r="AG23" s="2" t="s">
        <v>21</v>
      </c>
      <c r="AH23" s="2" t="s">
        <v>22</v>
      </c>
      <c r="AI23" s="2" t="s">
        <v>23</v>
      </c>
      <c r="AJ23" s="2" t="s">
        <v>24</v>
      </c>
      <c r="AK23" s="2" t="s">
        <v>16</v>
      </c>
      <c r="AL23" s="2" t="s">
        <v>17</v>
      </c>
      <c r="AM23" s="9" t="s">
        <v>25</v>
      </c>
      <c r="AN23" s="9" t="s">
        <v>27</v>
      </c>
      <c r="AQ23" s="2" t="s">
        <v>11</v>
      </c>
      <c r="AR23" s="2" t="s">
        <v>7</v>
      </c>
      <c r="AS23" s="2" t="s">
        <v>6</v>
      </c>
      <c r="AT23" s="2" t="s">
        <v>12</v>
      </c>
      <c r="AU23" s="2" t="s">
        <v>20</v>
      </c>
      <c r="AV23" s="2" t="s">
        <v>6</v>
      </c>
      <c r="AW23" s="2" t="s">
        <v>21</v>
      </c>
      <c r="AX23" s="2" t="s">
        <v>22</v>
      </c>
      <c r="AY23" s="2" t="s">
        <v>23</v>
      </c>
      <c r="AZ23" s="2" t="s">
        <v>24</v>
      </c>
      <c r="BA23" s="2" t="s">
        <v>16</v>
      </c>
      <c r="BB23" s="2" t="s">
        <v>17</v>
      </c>
      <c r="BC23" s="9" t="s">
        <v>25</v>
      </c>
      <c r="BD23" s="9" t="s">
        <v>27</v>
      </c>
    </row>
    <row r="24" spans="2:56" x14ac:dyDescent="0.35">
      <c r="B24" s="2">
        <v>0</v>
      </c>
      <c r="C24" s="2"/>
      <c r="D24" s="2"/>
      <c r="E24" s="2"/>
      <c r="F24" s="2"/>
      <c r="G24" s="17">
        <f>+C10</f>
        <v>1000000</v>
      </c>
      <c r="H24" s="2"/>
      <c r="K24" s="2">
        <v>0</v>
      </c>
      <c r="L24" s="2">
        <v>376.30540000000002</v>
      </c>
      <c r="M24" s="18"/>
      <c r="N24" s="2"/>
      <c r="O24" s="2"/>
      <c r="P24" s="2"/>
      <c r="Q24" s="2"/>
      <c r="R24" s="2"/>
      <c r="S24" s="2"/>
      <c r="T24" s="2"/>
      <c r="U24" s="17">
        <f>+L24*C10</f>
        <v>376305400</v>
      </c>
      <c r="V24" s="2"/>
      <c r="W24" s="16">
        <f>+G24</f>
        <v>1000000</v>
      </c>
      <c r="X24" s="16">
        <f>+U24</f>
        <v>376305400</v>
      </c>
      <c r="AA24" s="2">
        <v>0</v>
      </c>
      <c r="AB24" s="2">
        <v>376.30540000000002</v>
      </c>
      <c r="AC24" s="18"/>
      <c r="AD24" s="2"/>
      <c r="AE24" s="2"/>
      <c r="AF24" s="2"/>
      <c r="AG24" s="2"/>
      <c r="AH24" s="2"/>
      <c r="AI24" s="2"/>
      <c r="AJ24" s="2"/>
      <c r="AK24" s="17">
        <f>+AB24*C10</f>
        <v>376305400</v>
      </c>
      <c r="AL24" s="2"/>
      <c r="AM24" s="16">
        <f>+W24</f>
        <v>1000000</v>
      </c>
      <c r="AN24" s="16">
        <f>+AK24</f>
        <v>376305400</v>
      </c>
      <c r="AQ24" s="2">
        <v>0</v>
      </c>
      <c r="AR24" s="2">
        <v>376.30540000000002</v>
      </c>
      <c r="AS24" s="18"/>
      <c r="AT24" s="2"/>
      <c r="AU24" s="2"/>
      <c r="AV24" s="2"/>
      <c r="AW24" s="2"/>
      <c r="AX24" s="2"/>
      <c r="AY24" s="2"/>
      <c r="AZ24" s="2"/>
      <c r="BA24" s="17">
        <f>+AR24*C10</f>
        <v>376305400</v>
      </c>
      <c r="BB24" s="2"/>
      <c r="BC24" s="16">
        <f>+AM24</f>
        <v>1000000</v>
      </c>
      <c r="BD24" s="16">
        <f>+BA24</f>
        <v>376305400</v>
      </c>
    </row>
    <row r="25" spans="2:56" x14ac:dyDescent="0.35">
      <c r="B25" s="2">
        <v>1</v>
      </c>
      <c r="C25" s="17">
        <f>+G24</f>
        <v>1000000</v>
      </c>
      <c r="D25" s="18">
        <f>+C25*$C$13</f>
        <v>7974.1404289037646</v>
      </c>
      <c r="E25" s="17">
        <f>+C25+D25</f>
        <v>1007974.1404289037</v>
      </c>
      <c r="F25" s="18">
        <v>0</v>
      </c>
      <c r="G25" s="17">
        <f>+E25-F25</f>
        <v>1007974.1404289037</v>
      </c>
      <c r="H25" s="17">
        <f>+F25-D25</f>
        <v>-7974.1404289037646</v>
      </c>
      <c r="I25" s="16"/>
      <c r="J25" s="16"/>
      <c r="K25" s="2">
        <v>1</v>
      </c>
      <c r="L25" s="2">
        <v>376.99281720067899</v>
      </c>
      <c r="M25" s="19">
        <f>+(L25/L24)-1</f>
        <v>1.8267534844809141E-3</v>
      </c>
      <c r="N25" s="17">
        <f>+U24</f>
        <v>376305400</v>
      </c>
      <c r="O25" s="17">
        <f>+N25*$C$13</f>
        <v>3000712.1037548026</v>
      </c>
      <c r="P25" s="17">
        <f>+N25*M25</f>
        <v>687417.20067898417</v>
      </c>
      <c r="Q25" s="17">
        <f>+M25*O25</f>
        <v>5481.5612914581397</v>
      </c>
      <c r="R25" s="17">
        <f>+Q25+O25+P25</f>
        <v>3693610.8657252449</v>
      </c>
      <c r="S25" s="17">
        <f>+N25+R25</f>
        <v>379999010.86572522</v>
      </c>
      <c r="T25" s="17">
        <f>+F25*L25</f>
        <v>0</v>
      </c>
      <c r="U25" s="17">
        <f>+S25-T25</f>
        <v>379999010.86572522</v>
      </c>
      <c r="V25" s="17">
        <f>+T25-R25</f>
        <v>-3693610.8657252449</v>
      </c>
      <c r="W25" s="16">
        <f>-F25</f>
        <v>0</v>
      </c>
      <c r="X25" s="16">
        <f>-T25</f>
        <v>0</v>
      </c>
      <c r="Y25" s="16"/>
      <c r="Z25" s="16"/>
      <c r="AA25" s="2">
        <v>1</v>
      </c>
      <c r="AB25" s="20">
        <v>378.08068342733299</v>
      </c>
      <c r="AC25" s="21">
        <f>+(AB25/AB24)-1</f>
        <v>4.7176666275130508E-3</v>
      </c>
      <c r="AD25" s="17">
        <f>+AK24</f>
        <v>376305400</v>
      </c>
      <c r="AE25" s="17">
        <f>+AD25*$C$13</f>
        <v>3000712.1037548026</v>
      </c>
      <c r="AF25" s="17">
        <f>+AD25*AC25</f>
        <v>1775283.4273329496</v>
      </c>
      <c r="AG25" s="17">
        <f>+AC25*AE25</f>
        <v>14156.359350658511</v>
      </c>
      <c r="AH25" s="17">
        <f>+AG25+AE25+AF25</f>
        <v>4790151.8904384105</v>
      </c>
      <c r="AI25" s="17">
        <f>+AD25+AH25</f>
        <v>381095551.89043844</v>
      </c>
      <c r="AJ25" s="17">
        <f>+AB25*F25</f>
        <v>0</v>
      </c>
      <c r="AK25" s="17">
        <f>+AI25-AJ25</f>
        <v>381095551.89043844</v>
      </c>
      <c r="AL25" s="17">
        <f>+AJ25-AH25</f>
        <v>-4790151.8904384105</v>
      </c>
      <c r="AM25" s="16">
        <f>-F25</f>
        <v>0</v>
      </c>
      <c r="AN25" s="16">
        <f>-AJ25</f>
        <v>0</v>
      </c>
      <c r="AQ25" s="2">
        <v>1</v>
      </c>
      <c r="AR25" s="20">
        <v>377.02264967477993</v>
      </c>
      <c r="AS25" s="19">
        <f>+(AR25/AR24)-1</f>
        <v>1.9060307792020392E-3</v>
      </c>
      <c r="AT25" s="17">
        <f>+BA24</f>
        <v>376305400</v>
      </c>
      <c r="AU25" s="17">
        <f>+AT25*$C$13</f>
        <v>3000712.1037548026</v>
      </c>
      <c r="AV25" s="17">
        <f>+AT25*AS25</f>
        <v>717249.67477993504</v>
      </c>
      <c r="AW25" s="17">
        <f>+AS25*AU25</f>
        <v>5719.4496292807571</v>
      </c>
      <c r="AX25" s="17">
        <f>+AW25+AU25+AV25</f>
        <v>3723681.2281640181</v>
      </c>
      <c r="AY25" s="17">
        <f>+AT25+AX25</f>
        <v>380029081.22816402</v>
      </c>
      <c r="AZ25" s="17">
        <f>+AR25*F25</f>
        <v>0</v>
      </c>
      <c r="BA25" s="17">
        <f>+AY25-AZ25</f>
        <v>380029081.22816402</v>
      </c>
      <c r="BB25" s="17">
        <f>+AZ25-AX25</f>
        <v>-3723681.2281640181</v>
      </c>
      <c r="BC25" s="16">
        <f>-V25</f>
        <v>3693610.8657252449</v>
      </c>
      <c r="BD25" s="16">
        <f>-AZ25</f>
        <v>0</v>
      </c>
    </row>
    <row r="26" spans="2:56" x14ac:dyDescent="0.35">
      <c r="B26" s="2">
        <v>2</v>
      </c>
      <c r="C26" s="17">
        <f t="shared" ref="C26:C60" si="0">+G25</f>
        <v>1007974.1404289037</v>
      </c>
      <c r="D26" s="18">
        <f t="shared" ref="D26:D89" si="1">+C26*$C$13</f>
        <v>8037.7273444836419</v>
      </c>
      <c r="E26" s="17">
        <f t="shared" ref="E26:E60" si="2">+C26+D26</f>
        <v>1016011.8677733873</v>
      </c>
      <c r="F26" s="18">
        <v>0</v>
      </c>
      <c r="G26" s="17">
        <f t="shared" ref="G26:G60" si="3">+E26-F26</f>
        <v>1016011.8677733873</v>
      </c>
      <c r="H26" s="17">
        <f t="shared" ref="H26:H60" si="4">+F26-D26</f>
        <v>-8037.7273444836419</v>
      </c>
      <c r="I26" s="16"/>
      <c r="J26" s="16"/>
      <c r="K26" s="2">
        <v>2</v>
      </c>
      <c r="L26" s="2">
        <v>377.83954405670301</v>
      </c>
      <c r="M26" s="19">
        <f t="shared" ref="M26:M89" si="5">+(L26/L25)-1</f>
        <v>2.2460026223081186E-3</v>
      </c>
      <c r="N26" s="17">
        <f t="shared" ref="N26:N89" si="6">+U25</f>
        <v>379999010.86572522</v>
      </c>
      <c r="O26" s="17">
        <f t="shared" ref="O26:O89" si="7">+N26*$C$13</f>
        <v>3030165.4754878203</v>
      </c>
      <c r="P26" s="17">
        <f t="shared" ref="P26:P89" si="8">+N26*M26</f>
        <v>853478.77487891016</v>
      </c>
      <c r="Q26" s="17">
        <f t="shared" ref="Q26:Q89" si="9">+M26*O26</f>
        <v>6805.7596039731716</v>
      </c>
      <c r="R26" s="17">
        <f t="shared" ref="R26:R89" si="10">+Q26+O26+P26</f>
        <v>3890450.0099707036</v>
      </c>
      <c r="S26" s="17">
        <f t="shared" ref="S26:S89" si="11">+N26+R26</f>
        <v>383889460.87569594</v>
      </c>
      <c r="T26" s="17">
        <f>+F26*L26</f>
        <v>0</v>
      </c>
      <c r="U26" s="17">
        <f t="shared" ref="U26:U89" si="12">+S26-T26</f>
        <v>383889460.87569594</v>
      </c>
      <c r="V26" s="17">
        <f t="shared" ref="V26:V89" si="13">+T26-R26</f>
        <v>-3890450.0099707036</v>
      </c>
      <c r="W26" s="16">
        <f>-F26</f>
        <v>0</v>
      </c>
      <c r="X26" s="16">
        <f t="shared" ref="X26:X89" si="14">-T26</f>
        <v>0</v>
      </c>
      <c r="Y26" s="16"/>
      <c r="Z26" s="16"/>
      <c r="AA26" s="2">
        <v>2</v>
      </c>
      <c r="AB26" s="20">
        <v>379.86434205004571</v>
      </c>
      <c r="AC26" s="21">
        <f t="shared" ref="AC26:AC89" si="15">+(AB26/AB25)-1</f>
        <v>4.7176666275137169E-3</v>
      </c>
      <c r="AD26" s="17">
        <f t="shared" ref="AD26:AD89" si="16">+AK25</f>
        <v>381095551.89043844</v>
      </c>
      <c r="AE26" s="17">
        <f t="shared" ref="AE26:AE89" si="17">+AD26*$C$13</f>
        <v>3038909.4476049375</v>
      </c>
      <c r="AF26" s="17">
        <f t="shared" ref="AF26:AF89" si="18">+AD26*AC26</f>
        <v>1797881.7670474434</v>
      </c>
      <c r="AG26" s="17">
        <f t="shared" ref="AG26:AG89" si="19">+AC26*AE26</f>
        <v>14336.561685001958</v>
      </c>
      <c r="AH26" s="17">
        <f t="shared" ref="AH26:AH89" si="20">+AG26+AE26+AF26</f>
        <v>4851127.7763373833</v>
      </c>
      <c r="AI26" s="17">
        <f t="shared" ref="AI26:AI89" si="21">+AD26+AH26</f>
        <v>385946679.66677582</v>
      </c>
      <c r="AJ26" s="17">
        <f>+AB26*F26</f>
        <v>0</v>
      </c>
      <c r="AK26" s="17">
        <f t="shared" ref="AK26:AK89" si="22">+AI26-AJ26</f>
        <v>385946679.66677582</v>
      </c>
      <c r="AL26" s="17">
        <f t="shared" ref="AL26:AL89" si="23">+AJ26-AH26</f>
        <v>-4851127.7763373833</v>
      </c>
      <c r="AM26" s="16">
        <f>-F26</f>
        <v>0</v>
      </c>
      <c r="AN26" s="16">
        <f t="shared" ref="AN26:AN89" si="24">-AJ26</f>
        <v>0</v>
      </c>
      <c r="AQ26" s="2">
        <v>2</v>
      </c>
      <c r="AR26" s="20">
        <v>377.09145372567667</v>
      </c>
      <c r="AS26" s="19">
        <f t="shared" ref="AS26:AS89" si="25">+(AR26/AR25)-1</f>
        <v>1.8249314983087572E-4</v>
      </c>
      <c r="AT26" s="17">
        <f t="shared" ref="AT26:AT89" si="26">+BA25</f>
        <v>380029081.22816402</v>
      </c>
      <c r="AU26" s="17">
        <f t="shared" ref="AU26:AU89" si="27">+AT26*$C$13</f>
        <v>3030405.2607806553</v>
      </c>
      <c r="AV26" s="17">
        <f t="shared" ref="AV26:AV89" si="28">+AT26*AS26</f>
        <v>69352.704060661374</v>
      </c>
      <c r="AW26" s="17">
        <f t="shared" ref="AW26:AW89" si="29">+AS26*AU26</f>
        <v>553.02820130391819</v>
      </c>
      <c r="AX26" s="17">
        <f t="shared" ref="AX26:AX89" si="30">+AW26+AU26+AV26</f>
        <v>3100310.9930426208</v>
      </c>
      <c r="AY26" s="17">
        <f t="shared" ref="AY26:AY89" si="31">+AT26+AX26</f>
        <v>383129392.22120667</v>
      </c>
      <c r="AZ26" s="17">
        <f>+AR26*F26</f>
        <v>0</v>
      </c>
      <c r="BA26" s="17">
        <f t="shared" ref="BA26:BA89" si="32">+AY26-AZ26</f>
        <v>383129392.22120667</v>
      </c>
      <c r="BB26" s="17">
        <f t="shared" ref="BB26:BB89" si="33">+AZ26-AX26</f>
        <v>-3100310.9930426208</v>
      </c>
      <c r="BC26" s="16">
        <f t="shared" ref="BC26:BC89" si="34">-V26</f>
        <v>3890450.0099707036</v>
      </c>
      <c r="BD26" s="16">
        <f t="shared" ref="BD26:BD89" si="35">-AZ26</f>
        <v>0</v>
      </c>
    </row>
    <row r="27" spans="2:56" x14ac:dyDescent="0.35">
      <c r="B27" s="2">
        <v>3</v>
      </c>
      <c r="C27" s="17">
        <f t="shared" si="0"/>
        <v>1016011.8677733873</v>
      </c>
      <c r="D27" s="18">
        <f t="shared" si="1"/>
        <v>8101.8213110577935</v>
      </c>
      <c r="E27" s="17">
        <f t="shared" si="2"/>
        <v>1024113.6890844451</v>
      </c>
      <c r="F27" s="18">
        <v>0</v>
      </c>
      <c r="G27" s="17">
        <f t="shared" si="3"/>
        <v>1024113.6890844451</v>
      </c>
      <c r="H27" s="17">
        <f t="shared" si="4"/>
        <v>-8101.8213110577935</v>
      </c>
      <c r="I27" s="16"/>
      <c r="J27" s="16"/>
      <c r="K27" s="2">
        <v>3</v>
      </c>
      <c r="L27" s="2">
        <v>378.94546444149103</v>
      </c>
      <c r="M27" s="19">
        <f t="shared" si="5"/>
        <v>2.9269577580848249E-3</v>
      </c>
      <c r="N27" s="17">
        <f t="shared" si="6"/>
        <v>383889460.87569594</v>
      </c>
      <c r="O27" s="17">
        <f t="shared" si="7"/>
        <v>3061188.4701989568</v>
      </c>
      <c r="P27" s="17">
        <f t="shared" si="8"/>
        <v>1123628.235757119</v>
      </c>
      <c r="Q27" s="17">
        <f t="shared" si="9"/>
        <v>8959.9693418086536</v>
      </c>
      <c r="R27" s="17">
        <f t="shared" si="10"/>
        <v>4193776.6752978843</v>
      </c>
      <c r="S27" s="17">
        <f t="shared" si="11"/>
        <v>388083237.5509938</v>
      </c>
      <c r="T27" s="17">
        <f>+F27*L27</f>
        <v>0</v>
      </c>
      <c r="U27" s="17">
        <f t="shared" si="12"/>
        <v>388083237.5509938</v>
      </c>
      <c r="V27" s="17">
        <f t="shared" si="13"/>
        <v>-4193776.6752978843</v>
      </c>
      <c r="W27" s="16">
        <f>-F27</f>
        <v>0</v>
      </c>
      <c r="X27" s="16">
        <f t="shared" si="14"/>
        <v>0</v>
      </c>
      <c r="Y27" s="16"/>
      <c r="Z27" s="16"/>
      <c r="AA27" s="2">
        <v>3</v>
      </c>
      <c r="AB27" s="20">
        <v>381.65641537951728</v>
      </c>
      <c r="AC27" s="21">
        <f t="shared" si="15"/>
        <v>4.7176666275128287E-3</v>
      </c>
      <c r="AD27" s="17">
        <f t="shared" si="16"/>
        <v>385946679.66677582</v>
      </c>
      <c r="AE27" s="17">
        <f t="shared" si="17"/>
        <v>3077593.0217320076</v>
      </c>
      <c r="AF27" s="17">
        <f t="shared" si="18"/>
        <v>1820767.7706633324</v>
      </c>
      <c r="AG27" s="17">
        <f t="shared" si="19"/>
        <v>14519.057891691456</v>
      </c>
      <c r="AH27" s="17">
        <f t="shared" si="20"/>
        <v>4912879.8502870314</v>
      </c>
      <c r="AI27" s="17">
        <f t="shared" si="21"/>
        <v>390859559.51706284</v>
      </c>
      <c r="AJ27" s="17">
        <f>+AB27*F27</f>
        <v>0</v>
      </c>
      <c r="AK27" s="17">
        <f t="shared" si="22"/>
        <v>390859559.51706284</v>
      </c>
      <c r="AL27" s="17">
        <f t="shared" si="23"/>
        <v>-4912879.8502870314</v>
      </c>
      <c r="AM27" s="16">
        <f>-F27</f>
        <v>0</v>
      </c>
      <c r="AN27" s="16">
        <f t="shared" si="24"/>
        <v>0</v>
      </c>
      <c r="AQ27" s="2">
        <v>3</v>
      </c>
      <c r="AR27" s="20">
        <v>377.21319110540009</v>
      </c>
      <c r="AS27" s="19">
        <f t="shared" si="25"/>
        <v>3.2283250792519702E-4</v>
      </c>
      <c r="AT27" s="17">
        <f t="shared" si="26"/>
        <v>383129392.22120667</v>
      </c>
      <c r="AU27" s="17">
        <f t="shared" si="27"/>
        <v>3055127.5760124517</v>
      </c>
      <c r="AV27" s="17">
        <f t="shared" si="28"/>
        <v>123686.62255062861</v>
      </c>
      <c r="AW27" s="17">
        <f t="shared" si="29"/>
        <v>986.29449739552774</v>
      </c>
      <c r="AX27" s="17">
        <f t="shared" si="30"/>
        <v>3179800.4930604757</v>
      </c>
      <c r="AY27" s="17">
        <f t="shared" si="31"/>
        <v>386309192.71426713</v>
      </c>
      <c r="AZ27" s="17">
        <f>+AR27*F27</f>
        <v>0</v>
      </c>
      <c r="BA27" s="17">
        <f t="shared" si="32"/>
        <v>386309192.71426713</v>
      </c>
      <c r="BB27" s="17">
        <f t="shared" si="33"/>
        <v>-3179800.4930604757</v>
      </c>
      <c r="BC27" s="16">
        <f t="shared" si="34"/>
        <v>4193776.6752978843</v>
      </c>
      <c r="BD27" s="16">
        <f t="shared" si="35"/>
        <v>0</v>
      </c>
    </row>
    <row r="28" spans="2:56" x14ac:dyDescent="0.35">
      <c r="B28" s="2">
        <v>4</v>
      </c>
      <c r="C28" s="17">
        <f t="shared" si="0"/>
        <v>1024113.6890844451</v>
      </c>
      <c r="D28" s="18">
        <f t="shared" si="1"/>
        <v>8166.4263719220535</v>
      </c>
      <c r="E28" s="17">
        <f t="shared" si="2"/>
        <v>1032280.1154563671</v>
      </c>
      <c r="F28" s="18">
        <v>0</v>
      </c>
      <c r="G28" s="17">
        <f t="shared" si="3"/>
        <v>1032280.1154563671</v>
      </c>
      <c r="H28" s="17">
        <f t="shared" si="4"/>
        <v>-8166.4263719220535</v>
      </c>
      <c r="I28" s="16"/>
      <c r="J28" s="16"/>
      <c r="K28" s="2">
        <v>4</v>
      </c>
      <c r="L28" s="2">
        <v>380.09109045591708</v>
      </c>
      <c r="M28" s="19">
        <f t="shared" si="5"/>
        <v>3.0231949500030275E-3</v>
      </c>
      <c r="N28" s="17">
        <f t="shared" si="6"/>
        <v>388083237.5509938</v>
      </c>
      <c r="O28" s="17">
        <f t="shared" si="7"/>
        <v>3094630.2343352432</v>
      </c>
      <c r="P28" s="17">
        <f t="shared" si="8"/>
        <v>1173251.2839449898</v>
      </c>
      <c r="Q28" s="17">
        <f t="shared" si="9"/>
        <v>9355.6704965689933</v>
      </c>
      <c r="R28" s="17">
        <f t="shared" si="10"/>
        <v>4277237.1887768023</v>
      </c>
      <c r="S28" s="17">
        <f t="shared" si="11"/>
        <v>392360474.73977059</v>
      </c>
      <c r="T28" s="17">
        <f>+F28*L28</f>
        <v>0</v>
      </c>
      <c r="U28" s="17">
        <f t="shared" si="12"/>
        <v>392360474.73977059</v>
      </c>
      <c r="V28" s="17">
        <f t="shared" si="13"/>
        <v>-4277237.1887768023</v>
      </c>
      <c r="W28" s="16">
        <f>-F28</f>
        <v>0</v>
      </c>
      <c r="X28" s="16">
        <f t="shared" si="14"/>
        <v>0</v>
      </c>
      <c r="Y28" s="16"/>
      <c r="Z28" s="16"/>
      <c r="AA28" s="2">
        <v>4</v>
      </c>
      <c r="AB28" s="20">
        <v>383.45694311352969</v>
      </c>
      <c r="AC28" s="19">
        <f t="shared" si="15"/>
        <v>4.7176666275134949E-3</v>
      </c>
      <c r="AD28" s="17">
        <f t="shared" si="16"/>
        <v>390859559.51706284</v>
      </c>
      <c r="AE28" s="17">
        <f t="shared" si="17"/>
        <v>3116769.0155685279</v>
      </c>
      <c r="AF28" s="17">
        <f t="shared" si="18"/>
        <v>1843945.0999782719</v>
      </c>
      <c r="AG28" s="17">
        <f t="shared" si="19"/>
        <v>14703.877170415732</v>
      </c>
      <c r="AH28" s="17">
        <f t="shared" si="20"/>
        <v>4975417.9927172158</v>
      </c>
      <c r="AI28" s="17">
        <f t="shared" si="21"/>
        <v>395834977.50978005</v>
      </c>
      <c r="AJ28" s="17">
        <f>+AB28*F28</f>
        <v>0</v>
      </c>
      <c r="AK28" s="17">
        <f t="shared" si="22"/>
        <v>395834977.50978005</v>
      </c>
      <c r="AL28" s="17">
        <f t="shared" si="23"/>
        <v>-4975417.9927172158</v>
      </c>
      <c r="AM28" s="16">
        <f>-F28</f>
        <v>0</v>
      </c>
      <c r="AN28" s="16">
        <f t="shared" si="24"/>
        <v>0</v>
      </c>
      <c r="AQ28" s="2">
        <v>4</v>
      </c>
      <c r="AR28" s="20">
        <v>378.27886927954609</v>
      </c>
      <c r="AS28" s="19">
        <f t="shared" si="25"/>
        <v>2.8251349615402432E-3</v>
      </c>
      <c r="AT28" s="17">
        <f t="shared" si="26"/>
        <v>386309192.71426713</v>
      </c>
      <c r="AU28" s="17">
        <f t="shared" si="27"/>
        <v>3080483.7516800133</v>
      </c>
      <c r="AV28" s="17">
        <f t="shared" si="28"/>
        <v>1091375.6063014634</v>
      </c>
      <c r="AW28" s="17">
        <f t="shared" si="29"/>
        <v>8702.7823453278579</v>
      </c>
      <c r="AX28" s="17">
        <f t="shared" si="30"/>
        <v>4180562.1403268045</v>
      </c>
      <c r="AY28" s="17">
        <f t="shared" si="31"/>
        <v>390489754.85459393</v>
      </c>
      <c r="AZ28" s="17">
        <f>+AR28*F28</f>
        <v>0</v>
      </c>
      <c r="BA28" s="17">
        <f t="shared" si="32"/>
        <v>390489754.85459393</v>
      </c>
      <c r="BB28" s="17">
        <f t="shared" si="33"/>
        <v>-4180562.1403268045</v>
      </c>
      <c r="BC28" s="16">
        <f t="shared" si="34"/>
        <v>4277237.1887768023</v>
      </c>
      <c r="BD28" s="16">
        <f t="shared" si="35"/>
        <v>0</v>
      </c>
    </row>
    <row r="29" spans="2:56" x14ac:dyDescent="0.35">
      <c r="B29" s="2">
        <v>5</v>
      </c>
      <c r="C29" s="17">
        <f t="shared" si="0"/>
        <v>1032280.1154563671</v>
      </c>
      <c r="D29" s="18">
        <f t="shared" si="1"/>
        <v>8231.5466026140621</v>
      </c>
      <c r="E29" s="17">
        <f t="shared" si="2"/>
        <v>1040511.6620589813</v>
      </c>
      <c r="F29" s="18">
        <v>0</v>
      </c>
      <c r="G29" s="17">
        <f t="shared" si="3"/>
        <v>1040511.6620589813</v>
      </c>
      <c r="H29" s="17">
        <f t="shared" si="4"/>
        <v>-8231.5466026140621</v>
      </c>
      <c r="I29" s="16"/>
      <c r="J29" s="16"/>
      <c r="K29" s="2">
        <v>5</v>
      </c>
      <c r="L29" s="2">
        <v>381.40350662514032</v>
      </c>
      <c r="M29" s="19">
        <f t="shared" si="5"/>
        <v>3.4528990607198828E-3</v>
      </c>
      <c r="N29" s="17">
        <f t="shared" si="6"/>
        <v>392360474.73977059</v>
      </c>
      <c r="O29" s="17">
        <f t="shared" si="7"/>
        <v>3128737.5243262788</v>
      </c>
      <c r="P29" s="17">
        <f t="shared" si="8"/>
        <v>1354781.1146925611</v>
      </c>
      <c r="Q29" s="17">
        <f t="shared" si="9"/>
        <v>10803.21485898526</v>
      </c>
      <c r="R29" s="17">
        <f t="shared" si="10"/>
        <v>4494321.8538778247</v>
      </c>
      <c r="S29" s="17">
        <f t="shared" si="11"/>
        <v>396854796.59364843</v>
      </c>
      <c r="T29" s="17">
        <f>+F29*L29</f>
        <v>0</v>
      </c>
      <c r="U29" s="17">
        <f t="shared" si="12"/>
        <v>396854796.59364843</v>
      </c>
      <c r="V29" s="17">
        <f t="shared" si="13"/>
        <v>-4494321.8538778247</v>
      </c>
      <c r="W29" s="16">
        <f>-F29</f>
        <v>0</v>
      </c>
      <c r="X29" s="16">
        <f t="shared" si="14"/>
        <v>0</v>
      </c>
      <c r="Y29" s="16"/>
      <c r="Z29" s="16"/>
      <c r="AA29" s="2">
        <v>5</v>
      </c>
      <c r="AB29" s="20">
        <v>385.26596513714458</v>
      </c>
      <c r="AC29" s="19">
        <f t="shared" si="15"/>
        <v>4.7176666275130508E-3</v>
      </c>
      <c r="AD29" s="17">
        <f t="shared" si="16"/>
        <v>395834977.50978005</v>
      </c>
      <c r="AE29" s="17">
        <f t="shared" si="17"/>
        <v>3156443.6973349494</v>
      </c>
      <c r="AF29" s="17">
        <f t="shared" si="18"/>
        <v>1867417.4634002682</v>
      </c>
      <c r="AG29" s="17">
        <f t="shared" si="19"/>
        <v>14891.049092540996</v>
      </c>
      <c r="AH29" s="17">
        <f t="shared" si="20"/>
        <v>5038752.2098277584</v>
      </c>
      <c r="AI29" s="17">
        <f t="shared" si="21"/>
        <v>400873729.71960783</v>
      </c>
      <c r="AJ29" s="17">
        <f>+AB29*F29</f>
        <v>0</v>
      </c>
      <c r="AK29" s="17">
        <f t="shared" si="22"/>
        <v>400873729.71960783</v>
      </c>
      <c r="AL29" s="17">
        <f t="shared" si="23"/>
        <v>-5038752.2098277584</v>
      </c>
      <c r="AM29" s="16">
        <f>-F29</f>
        <v>0</v>
      </c>
      <c r="AN29" s="16">
        <f t="shared" si="24"/>
        <v>0</v>
      </c>
      <c r="AQ29" s="2">
        <v>5</v>
      </c>
      <c r="AR29" s="20">
        <v>381.33430889171012</v>
      </c>
      <c r="AS29" s="19">
        <f t="shared" si="25"/>
        <v>8.0772146167806813E-3</v>
      </c>
      <c r="AT29" s="17">
        <f t="shared" si="26"/>
        <v>390489754.85459393</v>
      </c>
      <c r="AU29" s="17">
        <f t="shared" si="27"/>
        <v>3113820.1412587375</v>
      </c>
      <c r="AV29" s="17">
        <f t="shared" si="28"/>
        <v>3154069.5556146312</v>
      </c>
      <c r="AW29" s="17">
        <f t="shared" si="29"/>
        <v>25150.993559001159</v>
      </c>
      <c r="AX29" s="17">
        <f t="shared" si="30"/>
        <v>6293040.6904323697</v>
      </c>
      <c r="AY29" s="17">
        <f t="shared" si="31"/>
        <v>396782795.5450263</v>
      </c>
      <c r="AZ29" s="17">
        <f>+AR29*F29</f>
        <v>0</v>
      </c>
      <c r="BA29" s="17">
        <f t="shared" si="32"/>
        <v>396782795.5450263</v>
      </c>
      <c r="BB29" s="17">
        <f t="shared" si="33"/>
        <v>-6293040.6904323697</v>
      </c>
      <c r="BC29" s="16">
        <f t="shared" si="34"/>
        <v>4494321.8538778247</v>
      </c>
      <c r="BD29" s="16">
        <f t="shared" si="35"/>
        <v>0</v>
      </c>
    </row>
    <row r="30" spans="2:56" x14ac:dyDescent="0.35">
      <c r="B30" s="2">
        <v>6</v>
      </c>
      <c r="C30" s="17">
        <f t="shared" si="0"/>
        <v>1040511.6620589813</v>
      </c>
      <c r="D30" s="18">
        <f t="shared" si="1"/>
        <v>8297.1861111703729</v>
      </c>
      <c r="E30" s="17">
        <f t="shared" si="2"/>
        <v>1048808.8481701517</v>
      </c>
      <c r="F30" s="18">
        <v>0</v>
      </c>
      <c r="G30" s="17">
        <f t="shared" si="3"/>
        <v>1048808.8481701517</v>
      </c>
      <c r="H30" s="17">
        <f t="shared" si="4"/>
        <v>-8297.1861111703729</v>
      </c>
      <c r="I30" s="16"/>
      <c r="J30" s="16"/>
      <c r="K30" s="2">
        <v>6</v>
      </c>
      <c r="L30" s="2">
        <v>382.69165854052198</v>
      </c>
      <c r="M30" s="19">
        <f t="shared" si="5"/>
        <v>3.377399245171997E-3</v>
      </c>
      <c r="N30" s="17">
        <f t="shared" si="6"/>
        <v>396854796.59364843</v>
      </c>
      <c r="O30" s="17">
        <f t="shared" si="7"/>
        <v>3164575.8779217917</v>
      </c>
      <c r="P30" s="17">
        <f t="shared" si="8"/>
        <v>1340337.0904582746</v>
      </c>
      <c r="Q30" s="17">
        <f t="shared" si="9"/>
        <v>10688.036181382569</v>
      </c>
      <c r="R30" s="17">
        <f t="shared" si="10"/>
        <v>4515601.0045614485</v>
      </c>
      <c r="S30" s="17">
        <f t="shared" si="11"/>
        <v>401370397.59820986</v>
      </c>
      <c r="T30" s="17">
        <f>+F30*L30</f>
        <v>0</v>
      </c>
      <c r="U30" s="17">
        <f t="shared" si="12"/>
        <v>401370397.59820986</v>
      </c>
      <c r="V30" s="17">
        <f t="shared" si="13"/>
        <v>-4515601.0045614485</v>
      </c>
      <c r="W30" s="16">
        <f>-F30</f>
        <v>0</v>
      </c>
      <c r="X30" s="16">
        <f t="shared" si="14"/>
        <v>0</v>
      </c>
      <c r="Y30" s="16"/>
      <c r="Z30" s="16"/>
      <c r="AA30" s="2">
        <v>6</v>
      </c>
      <c r="AB30" s="20">
        <v>387.08352152358879</v>
      </c>
      <c r="AC30" s="19">
        <f t="shared" si="15"/>
        <v>4.7176666275132728E-3</v>
      </c>
      <c r="AD30" s="17">
        <f t="shared" si="16"/>
        <v>400873729.71960783</v>
      </c>
      <c r="AE30" s="17">
        <f t="shared" si="17"/>
        <v>3196623.4150425652</v>
      </c>
      <c r="AF30" s="17">
        <f t="shared" si="18"/>
        <v>1891188.6165449696</v>
      </c>
      <c r="AG30" s="17">
        <f t="shared" si="19"/>
        <v>15080.603605873819</v>
      </c>
      <c r="AH30" s="17">
        <f t="shared" si="20"/>
        <v>5102892.6351934085</v>
      </c>
      <c r="AI30" s="17">
        <f t="shared" si="21"/>
        <v>405976622.35480124</v>
      </c>
      <c r="AJ30" s="17">
        <f>+AB30*F30</f>
        <v>0</v>
      </c>
      <c r="AK30" s="17">
        <f t="shared" si="22"/>
        <v>405976622.35480124</v>
      </c>
      <c r="AL30" s="17">
        <f t="shared" si="23"/>
        <v>-5102892.6351934085</v>
      </c>
      <c r="AM30" s="16">
        <f>-F30</f>
        <v>0</v>
      </c>
      <c r="AN30" s="16">
        <f t="shared" si="24"/>
        <v>0</v>
      </c>
      <c r="AQ30" s="2">
        <v>6</v>
      </c>
      <c r="AR30" s="20">
        <v>383.93427773804211</v>
      </c>
      <c r="AS30" s="19">
        <f t="shared" si="25"/>
        <v>6.8180826789185911E-3</v>
      </c>
      <c r="AT30" s="17">
        <f t="shared" si="26"/>
        <v>396782795.5450263</v>
      </c>
      <c r="AU30" s="17">
        <f t="shared" si="27"/>
        <v>3164001.7314490508</v>
      </c>
      <c r="AV30" s="17">
        <f t="shared" si="28"/>
        <v>2705297.9055984407</v>
      </c>
      <c r="AW30" s="17">
        <f t="shared" si="29"/>
        <v>21572.425401261204</v>
      </c>
      <c r="AX30" s="17">
        <f t="shared" si="30"/>
        <v>5890872.062448753</v>
      </c>
      <c r="AY30" s="17">
        <f t="shared" si="31"/>
        <v>402673667.60747504</v>
      </c>
      <c r="AZ30" s="17">
        <f>+AR30*F30</f>
        <v>0</v>
      </c>
      <c r="BA30" s="17">
        <f t="shared" si="32"/>
        <v>402673667.60747504</v>
      </c>
      <c r="BB30" s="17">
        <f t="shared" si="33"/>
        <v>-5890872.062448753</v>
      </c>
      <c r="BC30" s="16">
        <f t="shared" si="34"/>
        <v>4515601.0045614485</v>
      </c>
      <c r="BD30" s="16">
        <f t="shared" si="35"/>
        <v>0</v>
      </c>
    </row>
    <row r="31" spans="2:56" x14ac:dyDescent="0.35">
      <c r="B31" s="2">
        <v>7</v>
      </c>
      <c r="C31" s="17">
        <f t="shared" si="0"/>
        <v>1048808.8481701517</v>
      </c>
      <c r="D31" s="18">
        <f t="shared" si="1"/>
        <v>8363.3490383855969</v>
      </c>
      <c r="E31" s="17">
        <f t="shared" si="2"/>
        <v>1057172.1972085373</v>
      </c>
      <c r="F31" s="18">
        <v>0</v>
      </c>
      <c r="G31" s="17">
        <f t="shared" si="3"/>
        <v>1057172.1972085373</v>
      </c>
      <c r="H31" s="17">
        <f t="shared" si="4"/>
        <v>-8363.3490383855969</v>
      </c>
      <c r="I31" s="16"/>
      <c r="J31" s="16"/>
      <c r="K31" s="2">
        <v>7</v>
      </c>
      <c r="L31" s="2">
        <v>384.06550978157259</v>
      </c>
      <c r="M31" s="19">
        <f t="shared" si="5"/>
        <v>3.5899691315197657E-3</v>
      </c>
      <c r="N31" s="17">
        <f t="shared" si="6"/>
        <v>401370397.59820986</v>
      </c>
      <c r="O31" s="17">
        <f t="shared" si="7"/>
        <v>3200583.9144530636</v>
      </c>
      <c r="P31" s="17">
        <f t="shared" si="8"/>
        <v>1440907.3376833885</v>
      </c>
      <c r="Q31" s="17">
        <f t="shared" si="9"/>
        <v>11489.997455725197</v>
      </c>
      <c r="R31" s="17">
        <f t="shared" si="10"/>
        <v>4652981.2495921776</v>
      </c>
      <c r="S31" s="17">
        <f t="shared" si="11"/>
        <v>406023378.84780204</v>
      </c>
      <c r="T31" s="17">
        <f>+F31*L31</f>
        <v>0</v>
      </c>
      <c r="U31" s="17">
        <f t="shared" si="12"/>
        <v>406023378.84780204</v>
      </c>
      <c r="V31" s="17">
        <f t="shared" si="13"/>
        <v>-4652981.2495921776</v>
      </c>
      <c r="W31" s="16">
        <f>-F31</f>
        <v>0</v>
      </c>
      <c r="X31" s="16">
        <f t="shared" si="14"/>
        <v>0</v>
      </c>
      <c r="Y31" s="16"/>
      <c r="Z31" s="16"/>
      <c r="AA31" s="2">
        <v>7</v>
      </c>
      <c r="AB31" s="20">
        <v>388.90965253514099</v>
      </c>
      <c r="AC31" s="19">
        <f t="shared" si="15"/>
        <v>4.7176666275134949E-3</v>
      </c>
      <c r="AD31" s="17">
        <f t="shared" si="16"/>
        <v>405976622.35480124</v>
      </c>
      <c r="AE31" s="17">
        <f t="shared" si="17"/>
        <v>3237314.5975092161</v>
      </c>
      <c r="AF31" s="17">
        <f t="shared" si="18"/>
        <v>1915262.3628338948</v>
      </c>
      <c r="AG31" s="17">
        <f t="shared" si="19"/>
        <v>15272.57103943151</v>
      </c>
      <c r="AH31" s="17">
        <f t="shared" si="20"/>
        <v>5167849.5313825421</v>
      </c>
      <c r="AI31" s="17">
        <f t="shared" si="21"/>
        <v>411144471.8861838</v>
      </c>
      <c r="AJ31" s="17">
        <f>+AB31*F31</f>
        <v>0</v>
      </c>
      <c r="AK31" s="17">
        <f t="shared" si="22"/>
        <v>411144471.8861838</v>
      </c>
      <c r="AL31" s="17">
        <f t="shared" si="23"/>
        <v>-5167849.5313825421</v>
      </c>
      <c r="AM31" s="16">
        <f>-F31</f>
        <v>0</v>
      </c>
      <c r="AN31" s="16">
        <f t="shared" si="24"/>
        <v>0</v>
      </c>
      <c r="AQ31" s="2">
        <v>7</v>
      </c>
      <c r="AR31" s="20">
        <v>386.1923334761135</v>
      </c>
      <c r="AS31" s="19">
        <f t="shared" si="25"/>
        <v>5.8813600894787044E-3</v>
      </c>
      <c r="AT31" s="17">
        <f t="shared" si="26"/>
        <v>402673667.60747504</v>
      </c>
      <c r="AU31" s="17">
        <f t="shared" si="27"/>
        <v>3210976.3725237227</v>
      </c>
      <c r="AV31" s="17">
        <f t="shared" si="28"/>
        <v>2368268.8377506174</v>
      </c>
      <c r="AW31" s="17">
        <f t="shared" si="29"/>
        <v>18884.908285620128</v>
      </c>
      <c r="AX31" s="17">
        <f t="shared" si="30"/>
        <v>5598130.1185599603</v>
      </c>
      <c r="AY31" s="17">
        <f t="shared" si="31"/>
        <v>408271797.726035</v>
      </c>
      <c r="AZ31" s="17">
        <f>+AR31*F31</f>
        <v>0</v>
      </c>
      <c r="BA31" s="17">
        <f t="shared" si="32"/>
        <v>408271797.726035</v>
      </c>
      <c r="BB31" s="17">
        <f t="shared" si="33"/>
        <v>-5598130.1185599603</v>
      </c>
      <c r="BC31" s="16">
        <f t="shared" si="34"/>
        <v>4652981.2495921776</v>
      </c>
      <c r="BD31" s="16">
        <f t="shared" si="35"/>
        <v>0</v>
      </c>
    </row>
    <row r="32" spans="2:56" x14ac:dyDescent="0.35">
      <c r="B32" s="2">
        <v>8</v>
      </c>
      <c r="C32" s="17">
        <f t="shared" si="0"/>
        <v>1057172.1972085373</v>
      </c>
      <c r="D32" s="18">
        <f t="shared" si="1"/>
        <v>8430.0395580736204</v>
      </c>
      <c r="E32" s="17">
        <f t="shared" si="2"/>
        <v>1065602.2367666108</v>
      </c>
      <c r="F32" s="18">
        <v>0</v>
      </c>
      <c r="G32" s="17">
        <f t="shared" si="3"/>
        <v>1065602.2367666108</v>
      </c>
      <c r="H32" s="17">
        <f t="shared" si="4"/>
        <v>-8430.0395580736204</v>
      </c>
      <c r="I32" s="16"/>
      <c r="J32" s="16"/>
      <c r="K32" s="2">
        <v>8</v>
      </c>
      <c r="L32" s="2">
        <v>385.40882568135561</v>
      </c>
      <c r="M32" s="19">
        <f t="shared" si="5"/>
        <v>3.4976218003719417E-3</v>
      </c>
      <c r="N32" s="17">
        <f t="shared" si="6"/>
        <v>406023378.84780204</v>
      </c>
      <c r="O32" s="17">
        <f t="shared" si="7"/>
        <v>3237687.4403503677</v>
      </c>
      <c r="P32" s="17">
        <f t="shared" si="8"/>
        <v>1420116.2213187483</v>
      </c>
      <c r="Q32" s="17">
        <f t="shared" si="9"/>
        <v>11324.206174159877</v>
      </c>
      <c r="R32" s="17">
        <f t="shared" si="10"/>
        <v>4669127.8678432759</v>
      </c>
      <c r="S32" s="17">
        <f t="shared" si="11"/>
        <v>410692506.71564531</v>
      </c>
      <c r="T32" s="17">
        <f>+F32*L32</f>
        <v>0</v>
      </c>
      <c r="U32" s="17">
        <f t="shared" si="12"/>
        <v>410692506.71564531</v>
      </c>
      <c r="V32" s="17">
        <f t="shared" si="13"/>
        <v>-4669127.8678432759</v>
      </c>
      <c r="W32" s="16">
        <f>-F32</f>
        <v>0</v>
      </c>
      <c r="X32" s="16">
        <f t="shared" si="14"/>
        <v>0</v>
      </c>
      <c r="Y32" s="16"/>
      <c r="Z32" s="16"/>
      <c r="AA32" s="2">
        <v>8</v>
      </c>
      <c r="AB32" s="20">
        <v>390.7443986240238</v>
      </c>
      <c r="AC32" s="19">
        <f t="shared" si="15"/>
        <v>4.7176666275132728E-3</v>
      </c>
      <c r="AD32" s="17">
        <f t="shared" si="16"/>
        <v>411144471.8861838</v>
      </c>
      <c r="AE32" s="17">
        <f t="shared" si="17"/>
        <v>3278523.7553879055</v>
      </c>
      <c r="AF32" s="17">
        <f t="shared" si="18"/>
        <v>1939642.5541040183</v>
      </c>
      <c r="AG32" s="17">
        <f t="shared" si="19"/>
        <v>15466.982108303011</v>
      </c>
      <c r="AH32" s="17">
        <f t="shared" si="20"/>
        <v>5233633.2916002264</v>
      </c>
      <c r="AI32" s="17">
        <f t="shared" si="21"/>
        <v>416378105.17778403</v>
      </c>
      <c r="AJ32" s="17">
        <f>+AB32*F32</f>
        <v>0</v>
      </c>
      <c r="AK32" s="17">
        <f t="shared" si="22"/>
        <v>416378105.17778403</v>
      </c>
      <c r="AL32" s="17">
        <f t="shared" si="23"/>
        <v>-5233633.2916002264</v>
      </c>
      <c r="AM32" s="16">
        <f>-F32</f>
        <v>0</v>
      </c>
      <c r="AN32" s="16">
        <f t="shared" si="24"/>
        <v>0</v>
      </c>
      <c r="AQ32" s="2">
        <v>8</v>
      </c>
      <c r="AR32" s="20">
        <v>388.49431659621769</v>
      </c>
      <c r="AS32" s="19">
        <f t="shared" si="25"/>
        <v>5.9607167739039735E-3</v>
      </c>
      <c r="AT32" s="17">
        <f t="shared" si="26"/>
        <v>408271797.726035</v>
      </c>
      <c r="AU32" s="17">
        <f t="shared" si="27"/>
        <v>3255616.6482283957</v>
      </c>
      <c r="AV32" s="17">
        <f t="shared" si="28"/>
        <v>2433592.5530175068</v>
      </c>
      <c r="AW32" s="17">
        <f t="shared" si="29"/>
        <v>19405.808764496029</v>
      </c>
      <c r="AX32" s="17">
        <f t="shared" si="30"/>
        <v>5708615.0100103989</v>
      </c>
      <c r="AY32" s="17">
        <f t="shared" si="31"/>
        <v>413980412.73604542</v>
      </c>
      <c r="AZ32" s="17">
        <f>+AR32*F32</f>
        <v>0</v>
      </c>
      <c r="BA32" s="17">
        <f t="shared" si="32"/>
        <v>413980412.73604542</v>
      </c>
      <c r="BB32" s="17">
        <f t="shared" si="33"/>
        <v>-5708615.0100103989</v>
      </c>
      <c r="BC32" s="16">
        <f t="shared" si="34"/>
        <v>4669127.8678432759</v>
      </c>
      <c r="BD32" s="16">
        <f t="shared" si="35"/>
        <v>0</v>
      </c>
    </row>
    <row r="33" spans="2:56" x14ac:dyDescent="0.35">
      <c r="B33" s="2">
        <v>9</v>
      </c>
      <c r="C33" s="17">
        <f t="shared" si="0"/>
        <v>1065602.2367666108</v>
      </c>
      <c r="D33" s="18">
        <f t="shared" si="1"/>
        <v>8497.2618773309114</v>
      </c>
      <c r="E33" s="17">
        <f t="shared" si="2"/>
        <v>1074099.4986439417</v>
      </c>
      <c r="F33" s="18">
        <v>0</v>
      </c>
      <c r="G33" s="17">
        <f t="shared" si="3"/>
        <v>1074099.4986439417</v>
      </c>
      <c r="H33" s="17">
        <f t="shared" si="4"/>
        <v>-8497.2618773309114</v>
      </c>
      <c r="I33" s="16"/>
      <c r="J33" s="16"/>
      <c r="K33" s="2">
        <v>9</v>
      </c>
      <c r="L33" s="2">
        <v>386.78600002173852</v>
      </c>
      <c r="M33" s="19">
        <f t="shared" si="5"/>
        <v>3.573281794853056E-3</v>
      </c>
      <c r="N33" s="17">
        <f t="shared" si="6"/>
        <v>410692506.71564531</v>
      </c>
      <c r="O33" s="17">
        <f t="shared" si="7"/>
        <v>3274919.7216490582</v>
      </c>
      <c r="P33" s="17">
        <f t="shared" si="8"/>
        <v>1467520.0575295819</v>
      </c>
      <c r="Q33" s="17">
        <f t="shared" si="9"/>
        <v>11702.211020973817</v>
      </c>
      <c r="R33" s="17">
        <f t="shared" si="10"/>
        <v>4754141.9901996143</v>
      </c>
      <c r="S33" s="17">
        <f t="shared" si="11"/>
        <v>415446648.70584494</v>
      </c>
      <c r="T33" s="17">
        <f>+F33*L33</f>
        <v>0</v>
      </c>
      <c r="U33" s="17">
        <f t="shared" si="12"/>
        <v>415446648.70584494</v>
      </c>
      <c r="V33" s="17">
        <f t="shared" si="13"/>
        <v>-4754141.9901996143</v>
      </c>
      <c r="W33" s="16">
        <f>-F33</f>
        <v>0</v>
      </c>
      <c r="X33" s="16">
        <f t="shared" si="14"/>
        <v>0</v>
      </c>
      <c r="Y33" s="16"/>
      <c r="Z33" s="16"/>
      <c r="AA33" s="2">
        <v>9</v>
      </c>
      <c r="AB33" s="20">
        <v>392.58780043330012</v>
      </c>
      <c r="AC33" s="19">
        <f t="shared" si="15"/>
        <v>4.7176666275132728E-3</v>
      </c>
      <c r="AD33" s="17">
        <f t="shared" si="16"/>
        <v>416378105.17778403</v>
      </c>
      <c r="AE33" s="17">
        <f t="shared" si="17"/>
        <v>3320257.4822085113</v>
      </c>
      <c r="AF33" s="17">
        <f t="shared" si="18"/>
        <v>1964333.0912244432</v>
      </c>
      <c r="AG33" s="17">
        <f t="shared" si="19"/>
        <v>15663.867918566339</v>
      </c>
      <c r="AH33" s="17">
        <f t="shared" si="20"/>
        <v>5300254.4413515208</v>
      </c>
      <c r="AI33" s="17">
        <f t="shared" si="21"/>
        <v>421678359.61913556</v>
      </c>
      <c r="AJ33" s="17">
        <f>+AB33*F33</f>
        <v>0</v>
      </c>
      <c r="AK33" s="17">
        <f t="shared" si="22"/>
        <v>421678359.61913556</v>
      </c>
      <c r="AL33" s="17">
        <f t="shared" si="23"/>
        <v>-5300254.4413515208</v>
      </c>
      <c r="AM33" s="16">
        <f>-F33</f>
        <v>0</v>
      </c>
      <c r="AN33" s="16">
        <f t="shared" si="24"/>
        <v>0</v>
      </c>
      <c r="AQ33" s="2">
        <v>9</v>
      </c>
      <c r="AR33" s="20">
        <v>389.91464724669743</v>
      </c>
      <c r="AS33" s="19">
        <f t="shared" si="25"/>
        <v>3.655988234072316E-3</v>
      </c>
      <c r="AT33" s="17">
        <f t="shared" si="26"/>
        <v>413980412.73604542</v>
      </c>
      <c r="AU33" s="17">
        <f t="shared" si="27"/>
        <v>3301137.9459727667</v>
      </c>
      <c r="AV33" s="17">
        <f t="shared" si="28"/>
        <v>1513507.5180993832</v>
      </c>
      <c r="AW33" s="17">
        <f t="shared" si="29"/>
        <v>12068.921489526088</v>
      </c>
      <c r="AX33" s="17">
        <f t="shared" si="30"/>
        <v>4826714.3855616758</v>
      </c>
      <c r="AY33" s="17">
        <f t="shared" si="31"/>
        <v>418807127.12160712</v>
      </c>
      <c r="AZ33" s="17">
        <f>+AR33*F33</f>
        <v>0</v>
      </c>
      <c r="BA33" s="17">
        <f t="shared" si="32"/>
        <v>418807127.12160712</v>
      </c>
      <c r="BB33" s="17">
        <f t="shared" si="33"/>
        <v>-4826714.3855616758</v>
      </c>
      <c r="BC33" s="16">
        <f t="shared" si="34"/>
        <v>4754141.9901996143</v>
      </c>
      <c r="BD33" s="16">
        <f t="shared" si="35"/>
        <v>0</v>
      </c>
    </row>
    <row r="34" spans="2:56" x14ac:dyDescent="0.35">
      <c r="B34" s="2">
        <v>10</v>
      </c>
      <c r="C34" s="17">
        <f t="shared" si="0"/>
        <v>1074099.4986439417</v>
      </c>
      <c r="D34" s="18">
        <f t="shared" si="1"/>
        <v>8565.02023680192</v>
      </c>
      <c r="E34" s="17">
        <f t="shared" si="2"/>
        <v>1082664.5188807435</v>
      </c>
      <c r="F34" s="18">
        <v>0</v>
      </c>
      <c r="G34" s="17">
        <f t="shared" si="3"/>
        <v>1082664.5188807435</v>
      </c>
      <c r="H34" s="17">
        <f t="shared" si="4"/>
        <v>-8565.02023680192</v>
      </c>
      <c r="I34" s="16"/>
      <c r="J34" s="16"/>
      <c r="K34" s="2">
        <v>10</v>
      </c>
      <c r="L34" s="2">
        <v>388.14855419566089</v>
      </c>
      <c r="M34" s="19">
        <f t="shared" si="5"/>
        <v>3.5227598047649078E-3</v>
      </c>
      <c r="N34" s="17">
        <f t="shared" si="6"/>
        <v>415446648.70584494</v>
      </c>
      <c r="O34" s="17">
        <f t="shared" si="7"/>
        <v>3312829.9174978579</v>
      </c>
      <c r="P34" s="17">
        <f t="shared" si="8"/>
        <v>1463518.7550852376</v>
      </c>
      <c r="Q34" s="17">
        <f t="shared" si="9"/>
        <v>11670.304073384099</v>
      </c>
      <c r="R34" s="17">
        <f t="shared" si="10"/>
        <v>4788018.9766564798</v>
      </c>
      <c r="S34" s="17">
        <f t="shared" si="11"/>
        <v>420234667.68250144</v>
      </c>
      <c r="T34" s="17">
        <f>+F34*L34</f>
        <v>0</v>
      </c>
      <c r="U34" s="17">
        <f t="shared" si="12"/>
        <v>420234667.68250144</v>
      </c>
      <c r="V34" s="17">
        <f t="shared" si="13"/>
        <v>-4788018.9766564798</v>
      </c>
      <c r="W34" s="16">
        <f>-F34</f>
        <v>0</v>
      </c>
      <c r="X34" s="16">
        <f t="shared" si="14"/>
        <v>0</v>
      </c>
      <c r="Y34" s="16"/>
      <c r="Z34" s="16"/>
      <c r="AA34" s="2">
        <v>10</v>
      </c>
      <c r="AB34" s="20">
        <v>394.43989879777308</v>
      </c>
      <c r="AC34" s="19">
        <f t="shared" si="15"/>
        <v>4.7176666275130508E-3</v>
      </c>
      <c r="AD34" s="17">
        <f t="shared" si="16"/>
        <v>421678359.61913556</v>
      </c>
      <c r="AE34" s="17">
        <f t="shared" si="17"/>
        <v>3362522.4554327694</v>
      </c>
      <c r="AF34" s="17">
        <f t="shared" si="18"/>
        <v>1989337.9247196426</v>
      </c>
      <c r="AG34" s="17">
        <f t="shared" si="19"/>
        <v>15863.259972258416</v>
      </c>
      <c r="AH34" s="17">
        <f t="shared" si="20"/>
        <v>5367723.6401246702</v>
      </c>
      <c r="AI34" s="17">
        <f t="shared" si="21"/>
        <v>427046083.25926024</v>
      </c>
      <c r="AJ34" s="17">
        <f>+AB34*F34</f>
        <v>0</v>
      </c>
      <c r="AK34" s="17">
        <f t="shared" si="22"/>
        <v>427046083.25926024</v>
      </c>
      <c r="AL34" s="17">
        <f t="shared" si="23"/>
        <v>-5367723.6401246702</v>
      </c>
      <c r="AM34" s="16">
        <f>-F34</f>
        <v>0</v>
      </c>
      <c r="AN34" s="16">
        <f t="shared" si="24"/>
        <v>0</v>
      </c>
      <c r="AQ34" s="2">
        <v>10</v>
      </c>
      <c r="AR34" s="20">
        <v>391.20449005078098</v>
      </c>
      <c r="AS34" s="19">
        <f t="shared" si="25"/>
        <v>3.3080132105616222E-3</v>
      </c>
      <c r="AT34" s="17">
        <f t="shared" si="26"/>
        <v>418807127.12160712</v>
      </c>
      <c r="AU34" s="17">
        <f t="shared" si="27"/>
        <v>3339626.8442934453</v>
      </c>
      <c r="AV34" s="17">
        <f t="shared" si="28"/>
        <v>1385419.509195637</v>
      </c>
      <c r="AW34" s="17">
        <f t="shared" si="29"/>
        <v>11047.52971926894</v>
      </c>
      <c r="AX34" s="17">
        <f t="shared" si="30"/>
        <v>4736093.8832083512</v>
      </c>
      <c r="AY34" s="17">
        <f t="shared" si="31"/>
        <v>423543221.00481546</v>
      </c>
      <c r="AZ34" s="17">
        <f>+AR34*F34</f>
        <v>0</v>
      </c>
      <c r="BA34" s="17">
        <f t="shared" si="32"/>
        <v>423543221.00481546</v>
      </c>
      <c r="BB34" s="17">
        <f t="shared" si="33"/>
        <v>-4736093.8832083512</v>
      </c>
      <c r="BC34" s="16">
        <f t="shared" si="34"/>
        <v>4788018.9766564798</v>
      </c>
      <c r="BD34" s="16">
        <f t="shared" si="35"/>
        <v>0</v>
      </c>
    </row>
    <row r="35" spans="2:56" x14ac:dyDescent="0.35">
      <c r="B35" s="2">
        <v>11</v>
      </c>
      <c r="C35" s="17">
        <f t="shared" si="0"/>
        <v>1082664.5188807435</v>
      </c>
      <c r="D35" s="18">
        <f t="shared" si="1"/>
        <v>8633.3189109465802</v>
      </c>
      <c r="E35" s="17">
        <f t="shared" si="2"/>
        <v>1091297.8377916901</v>
      </c>
      <c r="F35" s="18">
        <v>0</v>
      </c>
      <c r="G35" s="17">
        <f t="shared" si="3"/>
        <v>1091297.8377916901</v>
      </c>
      <c r="H35" s="17">
        <f t="shared" si="4"/>
        <v>-8633.3189109465802</v>
      </c>
      <c r="I35" s="16"/>
      <c r="J35" s="16"/>
      <c r="K35" s="2">
        <v>11</v>
      </c>
      <c r="L35" s="2">
        <v>389.51625054293868</v>
      </c>
      <c r="M35" s="19">
        <f t="shared" si="5"/>
        <v>3.5236414833799135E-3</v>
      </c>
      <c r="N35" s="17">
        <f t="shared" si="6"/>
        <v>420234667.68250144</v>
      </c>
      <c r="O35" s="17">
        <f t="shared" si="7"/>
        <v>3351010.2531939726</v>
      </c>
      <c r="P35" s="17">
        <f t="shared" si="8"/>
        <v>1480756.3078004343</v>
      </c>
      <c r="Q35" s="17">
        <f t="shared" si="9"/>
        <v>11807.758739385708</v>
      </c>
      <c r="R35" s="17">
        <f t="shared" si="10"/>
        <v>4843574.3197337929</v>
      </c>
      <c r="S35" s="17">
        <f t="shared" si="11"/>
        <v>425078242.00223523</v>
      </c>
      <c r="T35" s="17">
        <f>+F35*L35</f>
        <v>0</v>
      </c>
      <c r="U35" s="17">
        <f t="shared" si="12"/>
        <v>425078242.00223523</v>
      </c>
      <c r="V35" s="17">
        <f t="shared" si="13"/>
        <v>-4843574.3197337929</v>
      </c>
      <c r="W35" s="16">
        <f>-F35</f>
        <v>0</v>
      </c>
      <c r="X35" s="16">
        <f t="shared" si="14"/>
        <v>0</v>
      </c>
      <c r="Y35" s="16"/>
      <c r="Z35" s="16"/>
      <c r="AA35" s="2">
        <v>11</v>
      </c>
      <c r="AB35" s="20">
        <v>396.30073474489109</v>
      </c>
      <c r="AC35" s="19">
        <f t="shared" si="15"/>
        <v>4.7176666275132728E-3</v>
      </c>
      <c r="AD35" s="17">
        <f t="shared" si="16"/>
        <v>427046083.25926024</v>
      </c>
      <c r="AE35" s="17">
        <f t="shared" si="17"/>
        <v>3405325.4375226703</v>
      </c>
      <c r="AF35" s="17">
        <f t="shared" si="18"/>
        <v>2014661.0554024666</v>
      </c>
      <c r="AG35" s="17">
        <f t="shared" si="19"/>
        <v>16065.190172422735</v>
      </c>
      <c r="AH35" s="17">
        <f t="shared" si="20"/>
        <v>5436051.68309756</v>
      </c>
      <c r="AI35" s="17">
        <f t="shared" si="21"/>
        <v>432482134.94235778</v>
      </c>
      <c r="AJ35" s="17">
        <f>+AB35*F35</f>
        <v>0</v>
      </c>
      <c r="AK35" s="17">
        <f t="shared" si="22"/>
        <v>432482134.94235778</v>
      </c>
      <c r="AL35" s="17">
        <f t="shared" si="23"/>
        <v>-5436051.68309756</v>
      </c>
      <c r="AM35" s="16">
        <f>-F35</f>
        <v>0</v>
      </c>
      <c r="AN35" s="16">
        <f t="shared" si="24"/>
        <v>0</v>
      </c>
      <c r="AQ35" s="2">
        <v>11</v>
      </c>
      <c r="AR35" s="20">
        <v>392.48234583814701</v>
      </c>
      <c r="AS35" s="19">
        <f t="shared" si="25"/>
        <v>3.2664650326486022E-3</v>
      </c>
      <c r="AT35" s="17">
        <f t="shared" si="26"/>
        <v>423543221.00481546</v>
      </c>
      <c r="AU35" s="17">
        <f t="shared" si="27"/>
        <v>3377393.1220026212</v>
      </c>
      <c r="AV35" s="17">
        <f t="shared" si="28"/>
        <v>1383489.1212275887</v>
      </c>
      <c r="AW35" s="17">
        <f t="shared" si="29"/>
        <v>11032.136534529456</v>
      </c>
      <c r="AX35" s="17">
        <f t="shared" si="30"/>
        <v>4771914.3797647394</v>
      </c>
      <c r="AY35" s="17">
        <f t="shared" si="31"/>
        <v>428315135.38458019</v>
      </c>
      <c r="AZ35" s="17">
        <f>+AR35*F35</f>
        <v>0</v>
      </c>
      <c r="BA35" s="17">
        <f t="shared" si="32"/>
        <v>428315135.38458019</v>
      </c>
      <c r="BB35" s="17">
        <f t="shared" si="33"/>
        <v>-4771914.3797647394</v>
      </c>
      <c r="BC35" s="16">
        <f t="shared" si="34"/>
        <v>4843574.3197337929</v>
      </c>
      <c r="BD35" s="16">
        <f t="shared" si="35"/>
        <v>0</v>
      </c>
    </row>
    <row r="36" spans="2:56" x14ac:dyDescent="0.35">
      <c r="B36" s="2">
        <v>12</v>
      </c>
      <c r="C36" s="17">
        <f t="shared" si="0"/>
        <v>1091297.8377916901</v>
      </c>
      <c r="D36" s="18">
        <f t="shared" si="1"/>
        <v>8702.1622083099792</v>
      </c>
      <c r="E36" s="17">
        <f t="shared" si="2"/>
        <v>1100000</v>
      </c>
      <c r="F36" s="18">
        <v>0</v>
      </c>
      <c r="G36" s="17">
        <f t="shared" si="3"/>
        <v>1100000</v>
      </c>
      <c r="H36" s="17">
        <f t="shared" si="4"/>
        <v>-8702.1622083099792</v>
      </c>
      <c r="I36" s="16"/>
      <c r="J36" s="16"/>
      <c r="K36" s="2">
        <v>12</v>
      </c>
      <c r="L36" s="2">
        <v>390.88481783420781</v>
      </c>
      <c r="M36" s="19">
        <f t="shared" si="5"/>
        <v>3.5135049933385787E-3</v>
      </c>
      <c r="N36" s="17">
        <f t="shared" si="6"/>
        <v>425078242.00223523</v>
      </c>
      <c r="O36" s="17">
        <f t="shared" si="7"/>
        <v>3389633.5949973622</v>
      </c>
      <c r="P36" s="17">
        <f t="shared" si="8"/>
        <v>1493514.5258344382</v>
      </c>
      <c r="Q36" s="17">
        <f t="shared" si="9"/>
        <v>11909.494561611429</v>
      </c>
      <c r="R36" s="17">
        <f t="shared" si="10"/>
        <v>4895057.6153934114</v>
      </c>
      <c r="S36" s="17">
        <f t="shared" si="11"/>
        <v>429973299.61762863</v>
      </c>
      <c r="T36" s="17">
        <f>+F36*L36</f>
        <v>0</v>
      </c>
      <c r="U36" s="17">
        <f t="shared" si="12"/>
        <v>429973299.61762863</v>
      </c>
      <c r="V36" s="17">
        <f t="shared" si="13"/>
        <v>-4895057.6153934114</v>
      </c>
      <c r="W36" s="16">
        <f>-F36</f>
        <v>0</v>
      </c>
      <c r="X36" s="16">
        <f t="shared" si="14"/>
        <v>0</v>
      </c>
      <c r="Y36" s="16"/>
      <c r="Z36" s="16"/>
      <c r="AA36" s="2">
        <v>12</v>
      </c>
      <c r="AB36" s="20">
        <v>398.17034949565613</v>
      </c>
      <c r="AC36" s="19">
        <f t="shared" si="15"/>
        <v>4.7176666275134949E-3</v>
      </c>
      <c r="AD36" s="17">
        <f t="shared" si="16"/>
        <v>432482134.94235778</v>
      </c>
      <c r="AE36" s="17">
        <f t="shared" si="17"/>
        <v>3448673.2770224684</v>
      </c>
      <c r="AF36" s="17">
        <f t="shared" si="18"/>
        <v>2040306.5350133493</v>
      </c>
      <c r="AG36" s="17">
        <f t="shared" si="19"/>
        <v>16269.690828206501</v>
      </c>
      <c r="AH36" s="17">
        <f t="shared" si="20"/>
        <v>5505249.5028640237</v>
      </c>
      <c r="AI36" s="17">
        <f t="shared" si="21"/>
        <v>437987384.44522178</v>
      </c>
      <c r="AJ36" s="17">
        <f>+AB36*F36</f>
        <v>0</v>
      </c>
      <c r="AK36" s="17">
        <f t="shared" si="22"/>
        <v>437987384.44522178</v>
      </c>
      <c r="AL36" s="17">
        <f t="shared" si="23"/>
        <v>-5505249.5028640237</v>
      </c>
      <c r="AM36" s="16">
        <f>-F36</f>
        <v>0</v>
      </c>
      <c r="AN36" s="16">
        <f t="shared" si="24"/>
        <v>0</v>
      </c>
      <c r="AQ36" s="2">
        <v>12</v>
      </c>
      <c r="AR36" s="20">
        <v>394.5747186529988</v>
      </c>
      <c r="AS36" s="19">
        <f t="shared" si="25"/>
        <v>5.3311259399031474E-3</v>
      </c>
      <c r="AT36" s="17">
        <f t="shared" si="26"/>
        <v>428315135.38458019</v>
      </c>
      <c r="AU36" s="17">
        <f t="shared" si="27"/>
        <v>3415445.0373815703</v>
      </c>
      <c r="AV36" s="17">
        <f t="shared" si="28"/>
        <v>2283401.9287018641</v>
      </c>
      <c r="AW36" s="17">
        <f t="shared" si="29"/>
        <v>18208.167635098365</v>
      </c>
      <c r="AX36" s="17">
        <f t="shared" si="30"/>
        <v>5717055.1337185334</v>
      </c>
      <c r="AY36" s="17">
        <f t="shared" si="31"/>
        <v>434032190.51829875</v>
      </c>
      <c r="AZ36" s="17">
        <f>+AR36*F36</f>
        <v>0</v>
      </c>
      <c r="BA36" s="17">
        <f t="shared" si="32"/>
        <v>434032190.51829875</v>
      </c>
      <c r="BB36" s="17">
        <f t="shared" si="33"/>
        <v>-5717055.1337185334</v>
      </c>
      <c r="BC36" s="16">
        <f t="shared" si="34"/>
        <v>4895057.6153934114</v>
      </c>
      <c r="BD36" s="16">
        <f t="shared" si="35"/>
        <v>0</v>
      </c>
    </row>
    <row r="37" spans="2:56" x14ac:dyDescent="0.35">
      <c r="B37" s="2">
        <v>13</v>
      </c>
      <c r="C37" s="17">
        <f t="shared" si="0"/>
        <v>1100000</v>
      </c>
      <c r="D37" s="18">
        <f t="shared" si="1"/>
        <v>8771.5544717941411</v>
      </c>
      <c r="E37" s="17">
        <f t="shared" si="2"/>
        <v>1108771.5544717941</v>
      </c>
      <c r="F37" s="18">
        <v>0</v>
      </c>
      <c r="G37" s="17">
        <f t="shared" si="3"/>
        <v>1108771.5544717941</v>
      </c>
      <c r="H37" s="17">
        <f t="shared" si="4"/>
        <v>-8771.5544717941411</v>
      </c>
      <c r="I37" s="16"/>
      <c r="J37" s="16"/>
      <c r="K37" s="2">
        <v>13</v>
      </c>
      <c r="L37" s="2">
        <v>392.24558571194621</v>
      </c>
      <c r="M37" s="19">
        <f t="shared" si="5"/>
        <v>3.4812502702921133E-3</v>
      </c>
      <c r="N37" s="17">
        <f t="shared" si="6"/>
        <v>429973299.61762863</v>
      </c>
      <c r="O37" s="17">
        <f t="shared" si="7"/>
        <v>3428667.471830084</v>
      </c>
      <c r="P37" s="17">
        <f t="shared" si="8"/>
        <v>1496844.6655122614</v>
      </c>
      <c r="Q37" s="17">
        <f t="shared" si="9"/>
        <v>11936.049563050257</v>
      </c>
      <c r="R37" s="17">
        <f t="shared" si="10"/>
        <v>4937448.1869053952</v>
      </c>
      <c r="S37" s="17">
        <f t="shared" si="11"/>
        <v>434910747.80453402</v>
      </c>
      <c r="T37" s="17">
        <f>+F37*L37</f>
        <v>0</v>
      </c>
      <c r="U37" s="17">
        <f t="shared" si="12"/>
        <v>434910747.80453402</v>
      </c>
      <c r="V37" s="17">
        <f t="shared" si="13"/>
        <v>-4937448.1869053952</v>
      </c>
      <c r="W37" s="16">
        <f>-F37</f>
        <v>0</v>
      </c>
      <c r="X37" s="16">
        <f t="shared" si="14"/>
        <v>0</v>
      </c>
      <c r="Y37" s="16"/>
      <c r="Z37" s="16"/>
      <c r="AA37" s="2">
        <v>13</v>
      </c>
      <c r="AB37" s="20">
        <v>400.04878446553698</v>
      </c>
      <c r="AC37" s="19">
        <f t="shared" si="15"/>
        <v>4.7176666275130508E-3</v>
      </c>
      <c r="AD37" s="17">
        <f t="shared" si="16"/>
        <v>437987384.44522178</v>
      </c>
      <c r="AE37" s="17">
        <f t="shared" si="17"/>
        <v>3492572.9096544585</v>
      </c>
      <c r="AF37" s="17">
        <f t="shared" si="18"/>
        <v>2066278.4668689515</v>
      </c>
      <c r="AG37" s="17">
        <f t="shared" si="19"/>
        <v>16476.794660032992</v>
      </c>
      <c r="AH37" s="17">
        <f t="shared" si="20"/>
        <v>5575328.1711834427</v>
      </c>
      <c r="AI37" s="17">
        <f t="shared" si="21"/>
        <v>443562712.61640525</v>
      </c>
      <c r="AJ37" s="17">
        <f>+AB37*F37</f>
        <v>0</v>
      </c>
      <c r="AK37" s="17">
        <f t="shared" si="22"/>
        <v>443562712.61640525</v>
      </c>
      <c r="AL37" s="17">
        <f t="shared" si="23"/>
        <v>-5575328.1711834427</v>
      </c>
      <c r="AM37" s="16">
        <f>-F37</f>
        <v>0</v>
      </c>
      <c r="AN37" s="16">
        <f t="shared" si="24"/>
        <v>0</v>
      </c>
      <c r="AQ37" s="2">
        <v>13</v>
      </c>
      <c r="AR37" s="20">
        <v>396.04093278405298</v>
      </c>
      <c r="AS37" s="19">
        <f t="shared" si="25"/>
        <v>3.7159353139997187E-3</v>
      </c>
      <c r="AT37" s="17">
        <f t="shared" si="26"/>
        <v>434032190.51829875</v>
      </c>
      <c r="AU37" s="17">
        <f t="shared" si="27"/>
        <v>3461033.6378576271</v>
      </c>
      <c r="AV37" s="17">
        <f t="shared" si="28"/>
        <v>1612835.5441596</v>
      </c>
      <c r="AW37" s="17">
        <f t="shared" si="29"/>
        <v>12860.97711785607</v>
      </c>
      <c r="AX37" s="17">
        <f t="shared" si="30"/>
        <v>5086730.1591350827</v>
      </c>
      <c r="AY37" s="17">
        <f t="shared" si="31"/>
        <v>439118920.67743385</v>
      </c>
      <c r="AZ37" s="17">
        <f>+AR37*F37</f>
        <v>0</v>
      </c>
      <c r="BA37" s="17">
        <f t="shared" si="32"/>
        <v>439118920.67743385</v>
      </c>
      <c r="BB37" s="17">
        <f t="shared" si="33"/>
        <v>-5086730.1591350827</v>
      </c>
      <c r="BC37" s="16">
        <f t="shared" si="34"/>
        <v>4937448.1869053952</v>
      </c>
      <c r="BD37" s="16">
        <f t="shared" si="35"/>
        <v>0</v>
      </c>
    </row>
    <row r="38" spans="2:56" x14ac:dyDescent="0.35">
      <c r="B38" s="2">
        <v>14</v>
      </c>
      <c r="C38" s="17">
        <f t="shared" si="0"/>
        <v>1108771.5544717941</v>
      </c>
      <c r="D38" s="18">
        <f t="shared" si="1"/>
        <v>8841.5000789320056</v>
      </c>
      <c r="E38" s="17">
        <f t="shared" si="2"/>
        <v>1117613.054550726</v>
      </c>
      <c r="F38" s="18">
        <v>0</v>
      </c>
      <c r="G38" s="17">
        <f t="shared" si="3"/>
        <v>1117613.054550726</v>
      </c>
      <c r="H38" s="17">
        <f t="shared" si="4"/>
        <v>-8841.5000789320056</v>
      </c>
      <c r="I38" s="16"/>
      <c r="J38" s="16"/>
      <c r="K38" s="2">
        <v>14</v>
      </c>
      <c r="L38" s="2">
        <v>393.61501019030158</v>
      </c>
      <c r="M38" s="19">
        <f t="shared" si="5"/>
        <v>3.4912425486441911E-3</v>
      </c>
      <c r="N38" s="17">
        <f t="shared" si="6"/>
        <v>434910747.80453402</v>
      </c>
      <c r="O38" s="17">
        <f t="shared" si="7"/>
        <v>3468039.377032904</v>
      </c>
      <c r="P38" s="17">
        <f t="shared" si="8"/>
        <v>1518378.9075978524</v>
      </c>
      <c r="Q38" s="17">
        <f t="shared" si="9"/>
        <v>12107.766633470768</v>
      </c>
      <c r="R38" s="17">
        <f t="shared" si="10"/>
        <v>4998526.0512642264</v>
      </c>
      <c r="S38" s="17">
        <f t="shared" si="11"/>
        <v>439909273.85579824</v>
      </c>
      <c r="T38" s="17">
        <f>+F38*L38</f>
        <v>0</v>
      </c>
      <c r="U38" s="17">
        <f t="shared" si="12"/>
        <v>439909273.85579824</v>
      </c>
      <c r="V38" s="17">
        <f t="shared" si="13"/>
        <v>-4998526.0512642264</v>
      </c>
      <c r="W38" s="16">
        <f>-F38</f>
        <v>0</v>
      </c>
      <c r="X38" s="16">
        <f t="shared" si="14"/>
        <v>0</v>
      </c>
      <c r="Y38" s="16"/>
      <c r="Z38" s="16"/>
      <c r="AA38" s="2">
        <v>14</v>
      </c>
      <c r="AB38" s="20">
        <v>401.93608126538732</v>
      </c>
      <c r="AC38" s="19">
        <f t="shared" si="15"/>
        <v>4.7176666275132728E-3</v>
      </c>
      <c r="AD38" s="17">
        <f t="shared" si="16"/>
        <v>443562712.61640525</v>
      </c>
      <c r="AE38" s="17">
        <f t="shared" si="17"/>
        <v>3537031.3594286987</v>
      </c>
      <c r="AF38" s="17">
        <f t="shared" si="18"/>
        <v>2092581.0065196755</v>
      </c>
      <c r="AG38" s="17">
        <f t="shared" si="19"/>
        <v>16686.534804844676</v>
      </c>
      <c r="AH38" s="17">
        <f t="shared" si="20"/>
        <v>5646298.9007532187</v>
      </c>
      <c r="AI38" s="17">
        <f t="shared" si="21"/>
        <v>449209011.51715845</v>
      </c>
      <c r="AJ38" s="17">
        <f>+AB38*F38</f>
        <v>0</v>
      </c>
      <c r="AK38" s="17">
        <f t="shared" si="22"/>
        <v>449209011.51715845</v>
      </c>
      <c r="AL38" s="17">
        <f t="shared" si="23"/>
        <v>-5646298.9007532187</v>
      </c>
      <c r="AM38" s="16">
        <f>-F38</f>
        <v>0</v>
      </c>
      <c r="AN38" s="16">
        <f t="shared" si="24"/>
        <v>0</v>
      </c>
      <c r="AQ38" s="2">
        <v>14</v>
      </c>
      <c r="AR38" s="20">
        <v>396.8247021909533</v>
      </c>
      <c r="AS38" s="19">
        <f t="shared" si="25"/>
        <v>1.9790111122874876E-3</v>
      </c>
      <c r="AT38" s="17">
        <f t="shared" si="26"/>
        <v>439118920.67743385</v>
      </c>
      <c r="AU38" s="17">
        <f t="shared" si="27"/>
        <v>3501595.9384705103</v>
      </c>
      <c r="AV38" s="17">
        <f t="shared" si="28"/>
        <v>869021.22363632941</v>
      </c>
      <c r="AW38" s="17">
        <f t="shared" si="29"/>
        <v>6929.6972729738736</v>
      </c>
      <c r="AX38" s="17">
        <f t="shared" si="30"/>
        <v>4377546.859379814</v>
      </c>
      <c r="AY38" s="17">
        <f t="shared" si="31"/>
        <v>443496467.53681368</v>
      </c>
      <c r="AZ38" s="17">
        <f>+AR38*F38</f>
        <v>0</v>
      </c>
      <c r="BA38" s="17">
        <f t="shared" si="32"/>
        <v>443496467.53681368</v>
      </c>
      <c r="BB38" s="17">
        <f t="shared" si="33"/>
        <v>-4377546.859379814</v>
      </c>
      <c r="BC38" s="16">
        <f t="shared" si="34"/>
        <v>4998526.0512642264</v>
      </c>
      <c r="BD38" s="16">
        <f t="shared" si="35"/>
        <v>0</v>
      </c>
    </row>
    <row r="39" spans="2:56" x14ac:dyDescent="0.35">
      <c r="B39" s="2">
        <v>15</v>
      </c>
      <c r="C39" s="17">
        <f t="shared" si="0"/>
        <v>1117613.054550726</v>
      </c>
      <c r="D39" s="18">
        <f t="shared" si="1"/>
        <v>8912.0034421635719</v>
      </c>
      <c r="E39" s="17">
        <f t="shared" si="2"/>
        <v>1126525.0579928895</v>
      </c>
      <c r="F39" s="18">
        <v>0</v>
      </c>
      <c r="G39" s="17">
        <f t="shared" si="3"/>
        <v>1126525.0579928895</v>
      </c>
      <c r="H39" s="17">
        <f t="shared" si="4"/>
        <v>-8912.0034421635719</v>
      </c>
      <c r="I39" s="16"/>
      <c r="J39" s="16"/>
      <c r="K39" s="2">
        <v>15</v>
      </c>
      <c r="L39" s="2">
        <v>394.9735266750551</v>
      </c>
      <c r="M39" s="19">
        <f t="shared" si="5"/>
        <v>3.451383838478872E-3</v>
      </c>
      <c r="N39" s="17">
        <f t="shared" si="6"/>
        <v>439909273.85579824</v>
      </c>
      <c r="O39" s="17">
        <f t="shared" si="7"/>
        <v>3507898.3257032186</v>
      </c>
      <c r="P39" s="17">
        <f t="shared" si="8"/>
        <v>1518295.7581828781</v>
      </c>
      <c r="Q39" s="17">
        <f t="shared" si="9"/>
        <v>12107.103588359183</v>
      </c>
      <c r="R39" s="17">
        <f t="shared" si="10"/>
        <v>5038301.1874744557</v>
      </c>
      <c r="S39" s="17">
        <f t="shared" si="11"/>
        <v>444947575.04327267</v>
      </c>
      <c r="T39" s="17">
        <f>+F39*L39</f>
        <v>0</v>
      </c>
      <c r="U39" s="17">
        <f t="shared" si="12"/>
        <v>444947575.04327267</v>
      </c>
      <c r="V39" s="17">
        <f t="shared" si="13"/>
        <v>-5038301.1874744557</v>
      </c>
      <c r="W39" s="16">
        <f>-F39</f>
        <v>0</v>
      </c>
      <c r="X39" s="16">
        <f t="shared" si="14"/>
        <v>0</v>
      </c>
      <c r="Y39" s="16"/>
      <c r="Z39" s="16"/>
      <c r="AA39" s="2">
        <v>15</v>
      </c>
      <c r="AB39" s="20">
        <v>403.83228170236652</v>
      </c>
      <c r="AC39" s="19">
        <f t="shared" si="15"/>
        <v>4.7176666275132728E-3</v>
      </c>
      <c r="AD39" s="17">
        <f t="shared" si="16"/>
        <v>449209011.51715845</v>
      </c>
      <c r="AE39" s="17">
        <f t="shared" si="17"/>
        <v>3582055.7397668697</v>
      </c>
      <c r="AF39" s="17">
        <f t="shared" si="18"/>
        <v>2119218.3624127237</v>
      </c>
      <c r="AG39" s="17">
        <f t="shared" si="19"/>
        <v>16898.944821390531</v>
      </c>
      <c r="AH39" s="17">
        <f t="shared" si="20"/>
        <v>5718173.0470009837</v>
      </c>
      <c r="AI39" s="17">
        <f t="shared" si="21"/>
        <v>454927184.56415945</v>
      </c>
      <c r="AJ39" s="17">
        <f>+AB39*F39</f>
        <v>0</v>
      </c>
      <c r="AK39" s="17">
        <f t="shared" si="22"/>
        <v>454927184.56415945</v>
      </c>
      <c r="AL39" s="17">
        <f t="shared" si="23"/>
        <v>-5718173.0470009837</v>
      </c>
      <c r="AM39" s="16">
        <f>-F39</f>
        <v>0</v>
      </c>
      <c r="AN39" s="16">
        <f t="shared" si="24"/>
        <v>0</v>
      </c>
      <c r="AQ39" s="2">
        <v>15</v>
      </c>
      <c r="AR39" s="20">
        <v>397.4124307346757</v>
      </c>
      <c r="AS39" s="19">
        <f t="shared" si="25"/>
        <v>1.4810785227770129E-3</v>
      </c>
      <c r="AT39" s="17">
        <f t="shared" si="26"/>
        <v>443496467.53681368</v>
      </c>
      <c r="AU39" s="17">
        <f t="shared" si="27"/>
        <v>3536503.1118613118</v>
      </c>
      <c r="AV39" s="17">
        <f t="shared" si="28"/>
        <v>656853.09299624746</v>
      </c>
      <c r="AW39" s="17">
        <f t="shared" si="29"/>
        <v>5237.8388047118606</v>
      </c>
      <c r="AX39" s="17">
        <f t="shared" si="30"/>
        <v>4198594.0436622715</v>
      </c>
      <c r="AY39" s="17">
        <f t="shared" si="31"/>
        <v>447695061.58047593</v>
      </c>
      <c r="AZ39" s="17">
        <f>+AR39*F39</f>
        <v>0</v>
      </c>
      <c r="BA39" s="17">
        <f t="shared" si="32"/>
        <v>447695061.58047593</v>
      </c>
      <c r="BB39" s="17">
        <f t="shared" si="33"/>
        <v>-4198594.0436622715</v>
      </c>
      <c r="BC39" s="16">
        <f t="shared" si="34"/>
        <v>5038301.1874744557</v>
      </c>
      <c r="BD39" s="16">
        <f t="shared" si="35"/>
        <v>0</v>
      </c>
    </row>
    <row r="40" spans="2:56" x14ac:dyDescent="0.35">
      <c r="B40" s="2">
        <v>16</v>
      </c>
      <c r="C40" s="17">
        <f t="shared" si="0"/>
        <v>1126525.0579928895</v>
      </c>
      <c r="D40" s="18">
        <f t="shared" si="1"/>
        <v>8983.0690091142587</v>
      </c>
      <c r="E40" s="17">
        <f t="shared" si="2"/>
        <v>1135508.1270020038</v>
      </c>
      <c r="F40" s="18">
        <v>0</v>
      </c>
      <c r="G40" s="17">
        <f t="shared" si="3"/>
        <v>1135508.1270020038</v>
      </c>
      <c r="H40" s="17">
        <f t="shared" si="4"/>
        <v>-8983.0690091142587</v>
      </c>
      <c r="I40" s="16"/>
      <c r="J40" s="16"/>
      <c r="K40" s="2">
        <v>16</v>
      </c>
      <c r="L40" s="2">
        <v>396.34162661340059</v>
      </c>
      <c r="M40" s="19">
        <f t="shared" si="5"/>
        <v>3.4637762937237415E-3</v>
      </c>
      <c r="N40" s="17">
        <f t="shared" si="6"/>
        <v>444947575.04327267</v>
      </c>
      <c r="O40" s="17">
        <f t="shared" si="7"/>
        <v>3548074.446895252</v>
      </c>
      <c r="P40" s="17">
        <f t="shared" si="8"/>
        <v>1541198.8623847533</v>
      </c>
      <c r="Q40" s="17">
        <f t="shared" si="9"/>
        <v>12289.73615752275</v>
      </c>
      <c r="R40" s="17">
        <f t="shared" si="10"/>
        <v>5101563.0454375278</v>
      </c>
      <c r="S40" s="17">
        <f t="shared" si="11"/>
        <v>450049138.08871019</v>
      </c>
      <c r="T40" s="17">
        <f>+F40*L40</f>
        <v>0</v>
      </c>
      <c r="U40" s="17">
        <f t="shared" si="12"/>
        <v>450049138.08871019</v>
      </c>
      <c r="V40" s="17">
        <f t="shared" si="13"/>
        <v>-5101563.0454375278</v>
      </c>
      <c r="W40" s="16">
        <f>-F40</f>
        <v>0</v>
      </c>
      <c r="X40" s="16">
        <f t="shared" si="14"/>
        <v>0</v>
      </c>
      <c r="Y40" s="16"/>
      <c r="Z40" s="16"/>
      <c r="AA40" s="2">
        <v>16</v>
      </c>
      <c r="AB40" s="20">
        <v>405.73742778086631</v>
      </c>
      <c r="AC40" s="19">
        <f t="shared" si="15"/>
        <v>4.7176666275132728E-3</v>
      </c>
      <c r="AD40" s="17">
        <f t="shared" si="16"/>
        <v>454927184.56415945</v>
      </c>
      <c r="AE40" s="17">
        <f t="shared" si="17"/>
        <v>3627653.2546404283</v>
      </c>
      <c r="AF40" s="17">
        <f t="shared" si="18"/>
        <v>2146194.7965669064</v>
      </c>
      <c r="AG40" s="17">
        <f t="shared" si="19"/>
        <v>17114.058695607058</v>
      </c>
      <c r="AH40" s="17">
        <f t="shared" si="20"/>
        <v>5790962.1099029416</v>
      </c>
      <c r="AI40" s="17">
        <f t="shared" si="21"/>
        <v>460718146.67406237</v>
      </c>
      <c r="AJ40" s="17">
        <f>+AB40*F40</f>
        <v>0</v>
      </c>
      <c r="AK40" s="17">
        <f t="shared" si="22"/>
        <v>460718146.67406237</v>
      </c>
      <c r="AL40" s="17">
        <f t="shared" si="23"/>
        <v>-5790962.1099029416</v>
      </c>
      <c r="AM40" s="16">
        <f>-F40</f>
        <v>0</v>
      </c>
      <c r="AN40" s="16">
        <f t="shared" si="24"/>
        <v>0</v>
      </c>
      <c r="AQ40" s="2">
        <v>16</v>
      </c>
      <c r="AR40" s="20">
        <v>398.80544708010791</v>
      </c>
      <c r="AS40" s="19">
        <f t="shared" si="25"/>
        <v>3.5052158354911267E-3</v>
      </c>
      <c r="AT40" s="17">
        <f t="shared" si="26"/>
        <v>447695061.58047593</v>
      </c>
      <c r="AU40" s="17">
        <f t="shared" si="27"/>
        <v>3569983.2903694334</v>
      </c>
      <c r="AV40" s="17">
        <f t="shared" si="28"/>
        <v>1569267.8193230594</v>
      </c>
      <c r="AW40" s="17">
        <f t="shared" si="29"/>
        <v>12513.561961841655</v>
      </c>
      <c r="AX40" s="17">
        <f t="shared" si="30"/>
        <v>5151764.6716543343</v>
      </c>
      <c r="AY40" s="17">
        <f t="shared" si="31"/>
        <v>452846826.25213027</v>
      </c>
      <c r="AZ40" s="17">
        <f>+AR40*F40</f>
        <v>0</v>
      </c>
      <c r="BA40" s="17">
        <f t="shared" si="32"/>
        <v>452846826.25213027</v>
      </c>
      <c r="BB40" s="17">
        <f t="shared" si="33"/>
        <v>-5151764.6716543343</v>
      </c>
      <c r="BC40" s="16">
        <f t="shared" si="34"/>
        <v>5101563.0454375278</v>
      </c>
      <c r="BD40" s="16">
        <f t="shared" si="35"/>
        <v>0</v>
      </c>
    </row>
    <row r="41" spans="2:56" x14ac:dyDescent="0.35">
      <c r="B41" s="2">
        <v>17</v>
      </c>
      <c r="C41" s="17">
        <f t="shared" si="0"/>
        <v>1135508.1270020038</v>
      </c>
      <c r="D41" s="18">
        <f t="shared" si="1"/>
        <v>9054.7012628754692</v>
      </c>
      <c r="E41" s="17">
        <f t="shared" si="2"/>
        <v>1144562.8282648793</v>
      </c>
      <c r="F41" s="18">
        <v>0</v>
      </c>
      <c r="G41" s="17">
        <f t="shared" si="3"/>
        <v>1144562.8282648793</v>
      </c>
      <c r="H41" s="17">
        <f t="shared" si="4"/>
        <v>-9054.7012628754692</v>
      </c>
      <c r="I41" s="16"/>
      <c r="J41" s="16"/>
      <c r="K41" s="2">
        <v>17</v>
      </c>
      <c r="L41" s="2">
        <v>397.70081922922481</v>
      </c>
      <c r="M41" s="19">
        <f t="shared" si="5"/>
        <v>3.4293461109247136E-3</v>
      </c>
      <c r="N41" s="17">
        <f t="shared" si="6"/>
        <v>450049138.08871019</v>
      </c>
      <c r="O41" s="17">
        <f t="shared" si="7"/>
        <v>3588755.0270264768</v>
      </c>
      <c r="P41" s="17">
        <f t="shared" si="8"/>
        <v>1543374.2614295378</v>
      </c>
      <c r="Q41" s="17">
        <f t="shared" si="9"/>
        <v>12307.083094994763</v>
      </c>
      <c r="R41" s="17">
        <f t="shared" si="10"/>
        <v>5144436.3715510089</v>
      </c>
      <c r="S41" s="17">
        <f t="shared" si="11"/>
        <v>455193574.46026123</v>
      </c>
      <c r="T41" s="17">
        <f>+F41*L41</f>
        <v>0</v>
      </c>
      <c r="U41" s="17">
        <f t="shared" si="12"/>
        <v>455193574.46026123</v>
      </c>
      <c r="V41" s="17">
        <f t="shared" si="13"/>
        <v>-5144436.3715510089</v>
      </c>
      <c r="W41" s="16">
        <f>-F41</f>
        <v>0</v>
      </c>
      <c r="X41" s="16">
        <f t="shared" si="14"/>
        <v>0</v>
      </c>
      <c r="Y41" s="16"/>
      <c r="Z41" s="16"/>
      <c r="AA41" s="2">
        <v>17</v>
      </c>
      <c r="AB41" s="20">
        <v>407.65156170344119</v>
      </c>
      <c r="AC41" s="19">
        <f t="shared" si="15"/>
        <v>4.7176666275132728E-3</v>
      </c>
      <c r="AD41" s="17">
        <f t="shared" si="16"/>
        <v>460718146.67406237</v>
      </c>
      <c r="AE41" s="17">
        <f t="shared" si="17"/>
        <v>3673831.1997232549</v>
      </c>
      <c r="AF41" s="17">
        <f t="shared" si="18"/>
        <v>2173514.6252539894</v>
      </c>
      <c r="AG41" s="17">
        <f t="shared" si="19"/>
        <v>17331.910846051447</v>
      </c>
      <c r="AH41" s="17">
        <f t="shared" si="20"/>
        <v>5864677.735823296</v>
      </c>
      <c r="AI41" s="17">
        <f t="shared" si="21"/>
        <v>466582824.40988564</v>
      </c>
      <c r="AJ41" s="17">
        <f>+AB41*F41</f>
        <v>0</v>
      </c>
      <c r="AK41" s="17">
        <f t="shared" si="22"/>
        <v>466582824.40988564</v>
      </c>
      <c r="AL41" s="17">
        <f t="shared" si="23"/>
        <v>-5864677.735823296</v>
      </c>
      <c r="AM41" s="16">
        <f>-F41</f>
        <v>0</v>
      </c>
      <c r="AN41" s="16">
        <f t="shared" si="24"/>
        <v>0</v>
      </c>
      <c r="AQ41" s="2">
        <v>17</v>
      </c>
      <c r="AR41" s="20">
        <v>402.08512699691818</v>
      </c>
      <c r="AS41" s="19">
        <f t="shared" si="25"/>
        <v>8.22375908058115E-3</v>
      </c>
      <c r="AT41" s="17">
        <f t="shared" si="26"/>
        <v>452846826.25213027</v>
      </c>
      <c r="AU41" s="17">
        <f t="shared" si="27"/>
        <v>3611064.1853178707</v>
      </c>
      <c r="AV41" s="17">
        <f t="shared" si="28"/>
        <v>3724103.1995033105</v>
      </c>
      <c r="AW41" s="17">
        <f t="shared" si="29"/>
        <v>29696.521884569211</v>
      </c>
      <c r="AX41" s="17">
        <f t="shared" si="30"/>
        <v>7364863.9067057502</v>
      </c>
      <c r="AY41" s="17">
        <f t="shared" si="31"/>
        <v>460211690.15883601</v>
      </c>
      <c r="AZ41" s="17">
        <f>+AR41*F41</f>
        <v>0</v>
      </c>
      <c r="BA41" s="17">
        <f t="shared" si="32"/>
        <v>460211690.15883601</v>
      </c>
      <c r="BB41" s="17">
        <f t="shared" si="33"/>
        <v>-7364863.9067057502</v>
      </c>
      <c r="BC41" s="16">
        <f t="shared" si="34"/>
        <v>5144436.3715510089</v>
      </c>
      <c r="BD41" s="16">
        <f t="shared" si="35"/>
        <v>0</v>
      </c>
    </row>
    <row r="42" spans="2:56" x14ac:dyDescent="0.35">
      <c r="B42" s="2">
        <v>18</v>
      </c>
      <c r="C42" s="17">
        <f t="shared" si="0"/>
        <v>1144562.8282648793</v>
      </c>
      <c r="D42" s="18">
        <f t="shared" si="1"/>
        <v>9126.9047222874106</v>
      </c>
      <c r="E42" s="17">
        <f t="shared" si="2"/>
        <v>1153689.7329871666</v>
      </c>
      <c r="F42" s="18">
        <v>0</v>
      </c>
      <c r="G42" s="17">
        <f t="shared" si="3"/>
        <v>1153689.7329871666</v>
      </c>
      <c r="H42" s="17">
        <f t="shared" si="4"/>
        <v>-9126.9047222874106</v>
      </c>
      <c r="I42" s="16"/>
      <c r="J42" s="16"/>
      <c r="K42" s="2">
        <v>18</v>
      </c>
      <c r="L42" s="2">
        <v>399.06690662632639</v>
      </c>
      <c r="M42" s="19">
        <f t="shared" si="5"/>
        <v>3.4349624920289035E-3</v>
      </c>
      <c r="N42" s="17">
        <f t="shared" si="6"/>
        <v>455193574.46026123</v>
      </c>
      <c r="O42" s="17">
        <f t="shared" si="7"/>
        <v>3629777.4850807851</v>
      </c>
      <c r="P42" s="17">
        <f t="shared" si="8"/>
        <v>1563572.8548835632</v>
      </c>
      <c r="Q42" s="17">
        <f t="shared" si="9"/>
        <v>12468.149515663499</v>
      </c>
      <c r="R42" s="17">
        <f t="shared" si="10"/>
        <v>5205818.4894800112</v>
      </c>
      <c r="S42" s="17">
        <f t="shared" si="11"/>
        <v>460399392.94974124</v>
      </c>
      <c r="T42" s="17">
        <f>+F42*L42</f>
        <v>0</v>
      </c>
      <c r="U42" s="17">
        <f t="shared" si="12"/>
        <v>460399392.94974124</v>
      </c>
      <c r="V42" s="17">
        <f t="shared" si="13"/>
        <v>-5205818.4894800112</v>
      </c>
      <c r="W42" s="16">
        <f>-F42</f>
        <v>0</v>
      </c>
      <c r="X42" s="16">
        <f t="shared" si="14"/>
        <v>0</v>
      </c>
      <c r="Y42" s="16"/>
      <c r="Z42" s="16"/>
      <c r="AA42" s="2">
        <v>18</v>
      </c>
      <c r="AB42" s="20">
        <v>409.57472587174323</v>
      </c>
      <c r="AC42" s="19">
        <f t="shared" si="15"/>
        <v>4.7176666275132728E-3</v>
      </c>
      <c r="AD42" s="17">
        <f t="shared" si="16"/>
        <v>466582824.40988564</v>
      </c>
      <c r="AE42" s="17">
        <f t="shared" si="17"/>
        <v>3720596.9635589751</v>
      </c>
      <c r="AF42" s="17">
        <f t="shared" si="18"/>
        <v>2201182.2196894027</v>
      </c>
      <c r="AG42" s="17">
        <f t="shared" si="19"/>
        <v>17552.536129409393</v>
      </c>
      <c r="AH42" s="17">
        <f t="shared" si="20"/>
        <v>5939331.7193777878</v>
      </c>
      <c r="AI42" s="17">
        <f t="shared" si="21"/>
        <v>472522156.12926346</v>
      </c>
      <c r="AJ42" s="17">
        <f>+AB42*F42</f>
        <v>0</v>
      </c>
      <c r="AK42" s="17">
        <f t="shared" si="22"/>
        <v>472522156.12926346</v>
      </c>
      <c r="AL42" s="17">
        <f t="shared" si="23"/>
        <v>-5939331.7193777878</v>
      </c>
      <c r="AM42" s="16">
        <f>-F42</f>
        <v>0</v>
      </c>
      <c r="AN42" s="16">
        <f t="shared" si="24"/>
        <v>0</v>
      </c>
      <c r="AQ42" s="2">
        <v>18</v>
      </c>
      <c r="AR42" s="20">
        <v>404.83831980800932</v>
      </c>
      <c r="AS42" s="19">
        <f t="shared" si="25"/>
        <v>6.8472883631736092E-3</v>
      </c>
      <c r="AT42" s="17">
        <f t="shared" si="26"/>
        <v>460211690.15883601</v>
      </c>
      <c r="AU42" s="17">
        <f t="shared" si="27"/>
        <v>3669792.6443497068</v>
      </c>
      <c r="AV42" s="17">
        <f t="shared" si="28"/>
        <v>3151202.1506210566</v>
      </c>
      <c r="AW42" s="17">
        <f t="shared" si="29"/>
        <v>25128.128468915857</v>
      </c>
      <c r="AX42" s="17">
        <f t="shared" si="30"/>
        <v>6846122.9234396797</v>
      </c>
      <c r="AY42" s="17">
        <f t="shared" si="31"/>
        <v>467057813.08227569</v>
      </c>
      <c r="AZ42" s="17">
        <f>+AR42*F42</f>
        <v>0</v>
      </c>
      <c r="BA42" s="17">
        <f t="shared" si="32"/>
        <v>467057813.08227569</v>
      </c>
      <c r="BB42" s="17">
        <f t="shared" si="33"/>
        <v>-6846122.9234396797</v>
      </c>
      <c r="BC42" s="16">
        <f t="shared" si="34"/>
        <v>5205818.4894800112</v>
      </c>
      <c r="BD42" s="16">
        <f t="shared" si="35"/>
        <v>0</v>
      </c>
    </row>
    <row r="43" spans="2:56" x14ac:dyDescent="0.35">
      <c r="B43" s="2">
        <v>19</v>
      </c>
      <c r="C43" s="17">
        <f t="shared" si="0"/>
        <v>1153689.7329871666</v>
      </c>
      <c r="D43" s="18">
        <f t="shared" si="1"/>
        <v>9199.6839422241537</v>
      </c>
      <c r="E43" s="17">
        <f t="shared" si="2"/>
        <v>1162889.4169293907</v>
      </c>
      <c r="F43" s="18">
        <v>0</v>
      </c>
      <c r="G43" s="17">
        <f t="shared" si="3"/>
        <v>1162889.4169293907</v>
      </c>
      <c r="H43" s="17">
        <f t="shared" si="4"/>
        <v>-9199.6839422241537</v>
      </c>
      <c r="I43" s="16"/>
      <c r="J43" s="16"/>
      <c r="K43" s="2">
        <v>19</v>
      </c>
      <c r="L43" s="2">
        <v>400.42776529296123</v>
      </c>
      <c r="M43" s="19">
        <f t="shared" si="5"/>
        <v>3.4101015244270005E-3</v>
      </c>
      <c r="N43" s="17">
        <f t="shared" si="6"/>
        <v>460399392.94974124</v>
      </c>
      <c r="O43" s="17">
        <f t="shared" si="7"/>
        <v>3671289.4127632822</v>
      </c>
      <c r="P43" s="17">
        <f t="shared" si="8"/>
        <v>1570008.6717431783</v>
      </c>
      <c r="Q43" s="17">
        <f t="shared" si="9"/>
        <v>12519.469623076777</v>
      </c>
      <c r="R43" s="17">
        <f t="shared" si="10"/>
        <v>5253817.5541295372</v>
      </c>
      <c r="S43" s="17">
        <f t="shared" si="11"/>
        <v>465653210.50387079</v>
      </c>
      <c r="T43" s="17">
        <f>+F43*L43</f>
        <v>0</v>
      </c>
      <c r="U43" s="17">
        <f t="shared" si="12"/>
        <v>465653210.50387079</v>
      </c>
      <c r="V43" s="17">
        <f t="shared" si="13"/>
        <v>-5253817.5541295372</v>
      </c>
      <c r="W43" s="16">
        <f>-F43</f>
        <v>0</v>
      </c>
      <c r="X43" s="16">
        <f t="shared" si="14"/>
        <v>0</v>
      </c>
      <c r="Y43" s="16"/>
      <c r="Z43" s="16"/>
      <c r="AA43" s="2">
        <v>19</v>
      </c>
      <c r="AB43" s="20">
        <v>411.50696288746121</v>
      </c>
      <c r="AC43" s="19">
        <f t="shared" si="15"/>
        <v>4.7176666275132728E-3</v>
      </c>
      <c r="AD43" s="17">
        <f t="shared" si="16"/>
        <v>472522156.12926346</v>
      </c>
      <c r="AE43" s="17">
        <f t="shared" si="17"/>
        <v>3767958.0287431362</v>
      </c>
      <c r="AF43" s="17">
        <f t="shared" si="18"/>
        <v>2229202.0067316424</v>
      </c>
      <c r="AG43" s="17">
        <f t="shared" si="19"/>
        <v>17775.969846072192</v>
      </c>
      <c r="AH43" s="17">
        <f t="shared" si="20"/>
        <v>6014936.0053208508</v>
      </c>
      <c r="AI43" s="17">
        <f t="shared" si="21"/>
        <v>478537092.13458431</v>
      </c>
      <c r="AJ43" s="17">
        <f>+AB43*F43</f>
        <v>0</v>
      </c>
      <c r="AK43" s="17">
        <f t="shared" si="22"/>
        <v>478537092.13458431</v>
      </c>
      <c r="AL43" s="17">
        <f t="shared" si="23"/>
        <v>-6014936.0053208508</v>
      </c>
      <c r="AM43" s="16">
        <f>-F43</f>
        <v>0</v>
      </c>
      <c r="AN43" s="16">
        <f t="shared" si="24"/>
        <v>0</v>
      </c>
      <c r="AQ43" s="2">
        <v>19</v>
      </c>
      <c r="AR43" s="20">
        <v>407.20015554519472</v>
      </c>
      <c r="AS43" s="19">
        <f t="shared" si="25"/>
        <v>5.834022180275511E-3</v>
      </c>
      <c r="AT43" s="17">
        <f t="shared" si="26"/>
        <v>467057813.08227569</v>
      </c>
      <c r="AU43" s="17">
        <f t="shared" si="27"/>
        <v>3724384.5899347519</v>
      </c>
      <c r="AV43" s="17">
        <f t="shared" si="28"/>
        <v>2724825.6409929702</v>
      </c>
      <c r="AW43" s="17">
        <f t="shared" si="29"/>
        <v>21728.142305555655</v>
      </c>
      <c r="AX43" s="17">
        <f t="shared" si="30"/>
        <v>6470938.3732332774</v>
      </c>
      <c r="AY43" s="17">
        <f t="shared" si="31"/>
        <v>473528751.45550895</v>
      </c>
      <c r="AZ43" s="17">
        <f>+AR43*F43</f>
        <v>0</v>
      </c>
      <c r="BA43" s="17">
        <f t="shared" si="32"/>
        <v>473528751.45550895</v>
      </c>
      <c r="BB43" s="17">
        <f t="shared" si="33"/>
        <v>-6470938.3732332774</v>
      </c>
      <c r="BC43" s="16">
        <f t="shared" si="34"/>
        <v>5253817.5541295372</v>
      </c>
      <c r="BD43" s="16">
        <f t="shared" si="35"/>
        <v>0</v>
      </c>
    </row>
    <row r="44" spans="2:56" x14ac:dyDescent="0.35">
      <c r="B44" s="2">
        <v>20</v>
      </c>
      <c r="C44" s="17">
        <f t="shared" si="0"/>
        <v>1162889.4169293907</v>
      </c>
      <c r="D44" s="18">
        <f t="shared" si="1"/>
        <v>9273.0435138809808</v>
      </c>
      <c r="E44" s="17">
        <f t="shared" si="2"/>
        <v>1172162.4604432718</v>
      </c>
      <c r="F44" s="18">
        <v>0</v>
      </c>
      <c r="G44" s="17">
        <f t="shared" si="3"/>
        <v>1172162.4604432718</v>
      </c>
      <c r="H44" s="17">
        <f t="shared" si="4"/>
        <v>-9273.0435138809808</v>
      </c>
      <c r="I44" s="16"/>
      <c r="J44" s="16"/>
      <c r="K44" s="2">
        <v>20</v>
      </c>
      <c r="L44" s="2">
        <v>401.79203369990063</v>
      </c>
      <c r="M44" s="19">
        <f t="shared" si="5"/>
        <v>3.4070274970599002E-3</v>
      </c>
      <c r="N44" s="17">
        <f t="shared" si="6"/>
        <v>465653210.50387079</v>
      </c>
      <c r="O44" s="17">
        <f t="shared" si="7"/>
        <v>3713184.0917277508</v>
      </c>
      <c r="P44" s="17">
        <f t="shared" si="8"/>
        <v>1586493.2922809096</v>
      </c>
      <c r="Q44" s="17">
        <f t="shared" si="9"/>
        <v>12650.920302161838</v>
      </c>
      <c r="R44" s="17">
        <f t="shared" si="10"/>
        <v>5312328.3043108229</v>
      </c>
      <c r="S44" s="17">
        <f t="shared" si="11"/>
        <v>470965538.80818158</v>
      </c>
      <c r="T44" s="17">
        <f>+F44*L44</f>
        <v>0</v>
      </c>
      <c r="U44" s="17">
        <f t="shared" si="12"/>
        <v>470965538.80818158</v>
      </c>
      <c r="V44" s="17">
        <f t="shared" si="13"/>
        <v>-5312328.3043108229</v>
      </c>
      <c r="W44" s="16">
        <f>-F44</f>
        <v>0</v>
      </c>
      <c r="X44" s="16">
        <f t="shared" si="14"/>
        <v>0</v>
      </c>
      <c r="Y44" s="16"/>
      <c r="Z44" s="16"/>
      <c r="AA44" s="2">
        <v>20</v>
      </c>
      <c r="AB44" s="20">
        <v>413.44831555326471</v>
      </c>
      <c r="AC44" s="19">
        <f t="shared" si="15"/>
        <v>4.7176666275132728E-3</v>
      </c>
      <c r="AD44" s="17">
        <f t="shared" si="16"/>
        <v>478537092.13458431</v>
      </c>
      <c r="AE44" s="17">
        <f t="shared" si="17"/>
        <v>3815921.9731204342</v>
      </c>
      <c r="AF44" s="17">
        <f t="shared" si="18"/>
        <v>2257578.4695905726</v>
      </c>
      <c r="AG44" s="17">
        <f t="shared" si="19"/>
        <v>18002.247745784873</v>
      </c>
      <c r="AH44" s="17">
        <f t="shared" si="20"/>
        <v>6091502.6904567918</v>
      </c>
      <c r="AI44" s="17">
        <f t="shared" si="21"/>
        <v>484628594.82504112</v>
      </c>
      <c r="AJ44" s="17">
        <f>+AB44*F44</f>
        <v>0</v>
      </c>
      <c r="AK44" s="17">
        <f t="shared" si="22"/>
        <v>484628594.82504112</v>
      </c>
      <c r="AL44" s="17">
        <f t="shared" si="23"/>
        <v>-6091502.6904567918</v>
      </c>
      <c r="AM44" s="16">
        <f>-F44</f>
        <v>0</v>
      </c>
      <c r="AN44" s="16">
        <f t="shared" si="24"/>
        <v>0</v>
      </c>
      <c r="AQ44" s="2">
        <v>20</v>
      </c>
      <c r="AR44" s="20">
        <v>409.57188081157079</v>
      </c>
      <c r="AS44" s="19">
        <f t="shared" si="25"/>
        <v>5.8244704332213182E-3</v>
      </c>
      <c r="AT44" s="17">
        <f t="shared" si="26"/>
        <v>473528751.45550895</v>
      </c>
      <c r="AU44" s="17">
        <f t="shared" si="27"/>
        <v>3775984.7612296962</v>
      </c>
      <c r="AV44" s="17">
        <f t="shared" si="28"/>
        <v>2758054.2121328181</v>
      </c>
      <c r="AW44" s="17">
        <f t="shared" si="29"/>
        <v>21993.111598076626</v>
      </c>
      <c r="AX44" s="17">
        <f t="shared" si="30"/>
        <v>6556032.084960591</v>
      </c>
      <c r="AY44" s="17">
        <f t="shared" si="31"/>
        <v>480084783.54046953</v>
      </c>
      <c r="AZ44" s="17">
        <f>+AR44*F44</f>
        <v>0</v>
      </c>
      <c r="BA44" s="17">
        <f t="shared" si="32"/>
        <v>480084783.54046953</v>
      </c>
      <c r="BB44" s="17">
        <f t="shared" si="33"/>
        <v>-6556032.084960591</v>
      </c>
      <c r="BC44" s="16">
        <f t="shared" si="34"/>
        <v>5312328.3043108229</v>
      </c>
      <c r="BD44" s="16">
        <f t="shared" si="35"/>
        <v>0</v>
      </c>
    </row>
    <row r="45" spans="2:56" x14ac:dyDescent="0.35">
      <c r="B45" s="2">
        <v>21</v>
      </c>
      <c r="C45" s="17">
        <f t="shared" si="0"/>
        <v>1172162.4604432718</v>
      </c>
      <c r="D45" s="18">
        <f t="shared" si="1"/>
        <v>9346.9880650640025</v>
      </c>
      <c r="E45" s="17">
        <f t="shared" si="2"/>
        <v>1181509.4485083357</v>
      </c>
      <c r="F45" s="18">
        <v>0</v>
      </c>
      <c r="G45" s="17">
        <f t="shared" si="3"/>
        <v>1181509.4485083357</v>
      </c>
      <c r="H45" s="17">
        <f t="shared" si="4"/>
        <v>-9346.9880650640025</v>
      </c>
      <c r="I45" s="16"/>
      <c r="J45" s="16"/>
      <c r="K45" s="2">
        <v>21</v>
      </c>
      <c r="L45" s="2">
        <v>403.15438788594139</v>
      </c>
      <c r="M45" s="19">
        <f t="shared" si="5"/>
        <v>3.3906948664350622E-3</v>
      </c>
      <c r="N45" s="17">
        <f t="shared" si="6"/>
        <v>470965538.80818158</v>
      </c>
      <c r="O45" s="17">
        <f t="shared" si="7"/>
        <v>3755545.3436307656</v>
      </c>
      <c r="P45" s="17">
        <f t="shared" si="8"/>
        <v>1596900.4347047245</v>
      </c>
      <c r="Q45" s="17">
        <f t="shared" si="9"/>
        <v>12733.908317312938</v>
      </c>
      <c r="R45" s="17">
        <f t="shared" si="10"/>
        <v>5365179.6866528029</v>
      </c>
      <c r="S45" s="17">
        <f t="shared" si="11"/>
        <v>476330718.49483436</v>
      </c>
      <c r="T45" s="17">
        <f>+F45*L45</f>
        <v>0</v>
      </c>
      <c r="U45" s="17">
        <f t="shared" si="12"/>
        <v>476330718.49483436</v>
      </c>
      <c r="V45" s="17">
        <f t="shared" si="13"/>
        <v>-5365179.6866528029</v>
      </c>
      <c r="W45" s="16">
        <f>-F45</f>
        <v>0</v>
      </c>
      <c r="X45" s="16">
        <f t="shared" si="14"/>
        <v>0</v>
      </c>
      <c r="Y45" s="16"/>
      <c r="Z45" s="16"/>
      <c r="AA45" s="2">
        <v>21</v>
      </c>
      <c r="AB45" s="20">
        <v>415.39882687375189</v>
      </c>
      <c r="AC45" s="19">
        <f t="shared" si="15"/>
        <v>4.7176666275132728E-3</v>
      </c>
      <c r="AD45" s="17">
        <f t="shared" si="16"/>
        <v>484628594.82504112</v>
      </c>
      <c r="AE45" s="17">
        <f t="shared" si="17"/>
        <v>3864496.4709971822</v>
      </c>
      <c r="AF45" s="17">
        <f t="shared" si="18"/>
        <v>2286316.1485447478</v>
      </c>
      <c r="AG45" s="17">
        <f t="shared" si="19"/>
        <v>18231.40603336622</v>
      </c>
      <c r="AH45" s="17">
        <f t="shared" si="20"/>
        <v>6169044.025575297</v>
      </c>
      <c r="AI45" s="17">
        <f t="shared" si="21"/>
        <v>490797638.8506164</v>
      </c>
      <c r="AJ45" s="17">
        <f>+AB45*F45</f>
        <v>0</v>
      </c>
      <c r="AK45" s="17">
        <f t="shared" si="22"/>
        <v>490797638.8506164</v>
      </c>
      <c r="AL45" s="17">
        <f t="shared" si="23"/>
        <v>-6169044.025575297</v>
      </c>
      <c r="AM45" s="16">
        <f>-F45</f>
        <v>0</v>
      </c>
      <c r="AN45" s="16">
        <f t="shared" si="24"/>
        <v>0</v>
      </c>
      <c r="AQ45" s="2">
        <v>21</v>
      </c>
      <c r="AR45" s="20">
        <v>411.03873333677689</v>
      </c>
      <c r="AS45" s="19">
        <f t="shared" si="25"/>
        <v>3.5814287892506069E-3</v>
      </c>
      <c r="AT45" s="17">
        <f t="shared" si="26"/>
        <v>480084783.54046953</v>
      </c>
      <c r="AU45" s="17">
        <f t="shared" si="27"/>
        <v>3828263.4817315703</v>
      </c>
      <c r="AV45" s="17">
        <f t="shared" si="28"/>
        <v>1719389.4650529835</v>
      </c>
      <c r="AW45" s="17">
        <f t="shared" si="29"/>
        <v>13710.653046310212</v>
      </c>
      <c r="AX45" s="17">
        <f t="shared" si="30"/>
        <v>5561363.599830864</v>
      </c>
      <c r="AY45" s="17">
        <f t="shared" si="31"/>
        <v>485646147.14030039</v>
      </c>
      <c r="AZ45" s="17">
        <f>+AR45*F45</f>
        <v>0</v>
      </c>
      <c r="BA45" s="17">
        <f t="shared" si="32"/>
        <v>485646147.14030039</v>
      </c>
      <c r="BB45" s="17">
        <f t="shared" si="33"/>
        <v>-5561363.599830864</v>
      </c>
      <c r="BC45" s="16">
        <f t="shared" si="34"/>
        <v>5365179.6866528029</v>
      </c>
      <c r="BD45" s="16">
        <f t="shared" si="35"/>
        <v>0</v>
      </c>
    </row>
    <row r="46" spans="2:56" x14ac:dyDescent="0.35">
      <c r="B46" s="2">
        <v>22</v>
      </c>
      <c r="C46" s="17">
        <f t="shared" si="0"/>
        <v>1181509.4485083357</v>
      </c>
      <c r="D46" s="18">
        <f t="shared" si="1"/>
        <v>9421.5222604821101</v>
      </c>
      <c r="E46" s="17">
        <f t="shared" si="2"/>
        <v>1190930.9707688179</v>
      </c>
      <c r="F46" s="18">
        <v>0</v>
      </c>
      <c r="G46" s="17">
        <f t="shared" si="3"/>
        <v>1190930.9707688179</v>
      </c>
      <c r="H46" s="17">
        <f t="shared" si="4"/>
        <v>-9421.5222604821101</v>
      </c>
      <c r="I46" s="16"/>
      <c r="J46" s="16"/>
      <c r="K46" s="2">
        <v>22</v>
      </c>
      <c r="L46" s="2">
        <v>404.517438472837</v>
      </c>
      <c r="M46" s="19">
        <f t="shared" si="5"/>
        <v>3.3809642852782318E-3</v>
      </c>
      <c r="N46" s="17">
        <f t="shared" si="6"/>
        <v>476330718.49483436</v>
      </c>
      <c r="O46" s="17">
        <f t="shared" si="7"/>
        <v>3798328.0398784368</v>
      </c>
      <c r="P46" s="17">
        <f t="shared" si="8"/>
        <v>1610457.1472119542</v>
      </c>
      <c r="Q46" s="17">
        <f t="shared" si="9"/>
        <v>12842.011446599867</v>
      </c>
      <c r="R46" s="17">
        <f t="shared" si="10"/>
        <v>5421627.1985369911</v>
      </c>
      <c r="S46" s="17">
        <f t="shared" si="11"/>
        <v>481752345.69337136</v>
      </c>
      <c r="T46" s="17">
        <f>+F46*L46</f>
        <v>0</v>
      </c>
      <c r="U46" s="17">
        <f t="shared" si="12"/>
        <v>481752345.69337136</v>
      </c>
      <c r="V46" s="17">
        <f t="shared" si="13"/>
        <v>-5421627.1985369911</v>
      </c>
      <c r="W46" s="16">
        <f>-F46</f>
        <v>0</v>
      </c>
      <c r="X46" s="16">
        <f t="shared" si="14"/>
        <v>0</v>
      </c>
      <c r="Y46" s="16"/>
      <c r="Z46" s="16"/>
      <c r="AA46" s="2">
        <v>22</v>
      </c>
      <c r="AB46" s="20">
        <v>417.35854005640238</v>
      </c>
      <c r="AC46" s="19">
        <f t="shared" si="15"/>
        <v>4.7176666275132728E-3</v>
      </c>
      <c r="AD46" s="17">
        <f t="shared" si="16"/>
        <v>490797638.8506164</v>
      </c>
      <c r="AE46" s="17">
        <f t="shared" si="17"/>
        <v>3913689.2943692091</v>
      </c>
      <c r="AF46" s="17">
        <f t="shared" si="18"/>
        <v>2315419.6416678648</v>
      </c>
      <c r="AG46" s="17">
        <f t="shared" si="19"/>
        <v>18463.481374501585</v>
      </c>
      <c r="AH46" s="17">
        <f t="shared" si="20"/>
        <v>6247572.4174115751</v>
      </c>
      <c r="AI46" s="17">
        <f t="shared" si="21"/>
        <v>497045211.26802796</v>
      </c>
      <c r="AJ46" s="17">
        <f>+AB46*F46</f>
        <v>0</v>
      </c>
      <c r="AK46" s="17">
        <f t="shared" si="22"/>
        <v>497045211.26802796</v>
      </c>
      <c r="AL46" s="17">
        <f t="shared" si="23"/>
        <v>-6247572.4174115751</v>
      </c>
      <c r="AM46" s="16">
        <f>-F46</f>
        <v>0</v>
      </c>
      <c r="AN46" s="16">
        <f t="shared" si="24"/>
        <v>0</v>
      </c>
      <c r="AQ46" s="2">
        <v>22</v>
      </c>
      <c r="AR46" s="20">
        <v>412.3594744776571</v>
      </c>
      <c r="AS46" s="19">
        <f t="shared" si="25"/>
        <v>3.2131792791363356E-3</v>
      </c>
      <c r="AT46" s="17">
        <f t="shared" si="26"/>
        <v>485646147.14030039</v>
      </c>
      <c r="AU46" s="17">
        <f t="shared" si="27"/>
        <v>3872610.5760528157</v>
      </c>
      <c r="AV46" s="17">
        <f t="shared" si="28"/>
        <v>1560468.1369836093</v>
      </c>
      <c r="AW46" s="17">
        <f t="shared" si="29"/>
        <v>12443.392059137135</v>
      </c>
      <c r="AX46" s="17">
        <f t="shared" si="30"/>
        <v>5445522.1050955616</v>
      </c>
      <c r="AY46" s="17">
        <f t="shared" si="31"/>
        <v>491091669.24539596</v>
      </c>
      <c r="AZ46" s="17">
        <f>+AR46*F46</f>
        <v>0</v>
      </c>
      <c r="BA46" s="17">
        <f t="shared" si="32"/>
        <v>491091669.24539596</v>
      </c>
      <c r="BB46" s="17">
        <f t="shared" si="33"/>
        <v>-5445522.1050955616</v>
      </c>
      <c r="BC46" s="16">
        <f t="shared" si="34"/>
        <v>5421627.1985369911</v>
      </c>
      <c r="BD46" s="16">
        <f t="shared" si="35"/>
        <v>0</v>
      </c>
    </row>
    <row r="47" spans="2:56" x14ac:dyDescent="0.35">
      <c r="B47" s="2">
        <v>23</v>
      </c>
      <c r="C47" s="17">
        <f t="shared" si="0"/>
        <v>1190930.9707688179</v>
      </c>
      <c r="D47" s="18">
        <f t="shared" si="1"/>
        <v>9496.6508020412384</v>
      </c>
      <c r="E47" s="17">
        <f t="shared" si="2"/>
        <v>1200427.6215708591</v>
      </c>
      <c r="F47" s="18">
        <v>0</v>
      </c>
      <c r="G47" s="17">
        <f t="shared" si="3"/>
        <v>1200427.6215708591</v>
      </c>
      <c r="H47" s="17">
        <f t="shared" si="4"/>
        <v>-9496.6508020412384</v>
      </c>
      <c r="I47" s="16"/>
      <c r="J47" s="16"/>
      <c r="K47" s="2">
        <v>23</v>
      </c>
      <c r="L47" s="2">
        <v>405.88069406506162</v>
      </c>
      <c r="M47" s="19">
        <f t="shared" si="5"/>
        <v>3.3700786729276011E-3</v>
      </c>
      <c r="N47" s="17">
        <f t="shared" si="6"/>
        <v>481752345.69337136</v>
      </c>
      <c r="O47" s="17">
        <f t="shared" si="7"/>
        <v>3841560.8565127347</v>
      </c>
      <c r="P47" s="17">
        <f t="shared" si="8"/>
        <v>1623543.3058540758</v>
      </c>
      <c r="Q47" s="17">
        <f t="shared" si="9"/>
        <v>12946.362313287056</v>
      </c>
      <c r="R47" s="17">
        <f t="shared" si="10"/>
        <v>5478050.5246800976</v>
      </c>
      <c r="S47" s="17">
        <f t="shared" si="11"/>
        <v>487230396.21805143</v>
      </c>
      <c r="T47" s="17">
        <f>+F47*L47</f>
        <v>0</v>
      </c>
      <c r="U47" s="17">
        <f t="shared" si="12"/>
        <v>487230396.21805143</v>
      </c>
      <c r="V47" s="17">
        <f t="shared" si="13"/>
        <v>-5478050.5246800976</v>
      </c>
      <c r="W47" s="16">
        <f>-F47</f>
        <v>0</v>
      </c>
      <c r="X47" s="16">
        <f t="shared" si="14"/>
        <v>0</v>
      </c>
      <c r="Y47" s="16"/>
      <c r="Z47" s="16"/>
      <c r="AA47" s="2">
        <v>23</v>
      </c>
      <c r="AB47" s="20">
        <v>419.32749851253419</v>
      </c>
      <c r="AC47" s="19">
        <f t="shared" si="15"/>
        <v>4.7176666275134949E-3</v>
      </c>
      <c r="AD47" s="17">
        <f t="shared" si="16"/>
        <v>497045211.26802796</v>
      </c>
      <c r="AE47" s="17">
        <f t="shared" si="17"/>
        <v>3963508.3141653948</v>
      </c>
      <c r="AF47" s="17">
        <f t="shared" si="18"/>
        <v>2344893.6055645701</v>
      </c>
      <c r="AG47" s="17">
        <f t="shared" si="19"/>
        <v>18698.510901610356</v>
      </c>
      <c r="AH47" s="17">
        <f t="shared" si="20"/>
        <v>6327100.4306315752</v>
      </c>
      <c r="AI47" s="17">
        <f t="shared" si="21"/>
        <v>503372311.69865954</v>
      </c>
      <c r="AJ47" s="17">
        <f>+AB47*F47</f>
        <v>0</v>
      </c>
      <c r="AK47" s="17">
        <f t="shared" si="22"/>
        <v>503372311.69865954</v>
      </c>
      <c r="AL47" s="17">
        <f t="shared" si="23"/>
        <v>-6327100.4306315752</v>
      </c>
      <c r="AM47" s="16">
        <f>-F47</f>
        <v>0</v>
      </c>
      <c r="AN47" s="16">
        <f t="shared" si="24"/>
        <v>0</v>
      </c>
      <c r="AQ47" s="2">
        <v>23</v>
      </c>
      <c r="AR47" s="20">
        <v>413.65791422639847</v>
      </c>
      <c r="AS47" s="19">
        <f t="shared" si="25"/>
        <v>3.1488054212556182E-3</v>
      </c>
      <c r="AT47" s="17">
        <f t="shared" si="26"/>
        <v>491091669.24539596</v>
      </c>
      <c r="AU47" s="17">
        <f t="shared" si="27"/>
        <v>3916033.9340275475</v>
      </c>
      <c r="AV47" s="17">
        <f t="shared" si="28"/>
        <v>1546352.1104533738</v>
      </c>
      <c r="AW47" s="17">
        <f t="shared" si="29"/>
        <v>12330.828881286907</v>
      </c>
      <c r="AX47" s="17">
        <f t="shared" si="30"/>
        <v>5474716.8733622078</v>
      </c>
      <c r="AY47" s="17">
        <f t="shared" si="31"/>
        <v>496566386.11875814</v>
      </c>
      <c r="AZ47" s="17">
        <f>+AR47*F47</f>
        <v>0</v>
      </c>
      <c r="BA47" s="17">
        <f t="shared" si="32"/>
        <v>496566386.11875814</v>
      </c>
      <c r="BB47" s="17">
        <f t="shared" si="33"/>
        <v>-5474716.8733622078</v>
      </c>
      <c r="BC47" s="16">
        <f t="shared" si="34"/>
        <v>5478050.5246800976</v>
      </c>
      <c r="BD47" s="16">
        <f t="shared" si="35"/>
        <v>0</v>
      </c>
    </row>
    <row r="48" spans="2:56" x14ac:dyDescent="0.35">
      <c r="B48" s="2">
        <v>24</v>
      </c>
      <c r="C48" s="17">
        <f t="shared" si="0"/>
        <v>1200427.6215708591</v>
      </c>
      <c r="D48" s="18">
        <f t="shared" si="1"/>
        <v>9572.3784291409756</v>
      </c>
      <c r="E48" s="17">
        <f t="shared" si="2"/>
        <v>1210000</v>
      </c>
      <c r="F48" s="18">
        <v>0</v>
      </c>
      <c r="G48" s="17">
        <f t="shared" si="3"/>
        <v>1210000</v>
      </c>
      <c r="H48" s="17">
        <f t="shared" si="4"/>
        <v>-9572.3784291409756</v>
      </c>
      <c r="I48" s="16"/>
      <c r="J48" s="16"/>
      <c r="K48" s="2">
        <v>24</v>
      </c>
      <c r="L48" s="2">
        <v>407.24316743154083</v>
      </c>
      <c r="M48" s="19">
        <f t="shared" si="5"/>
        <v>3.3568321588135497E-3</v>
      </c>
      <c r="N48" s="17">
        <f t="shared" si="6"/>
        <v>487230396.21805143</v>
      </c>
      <c r="O48" s="17">
        <f t="shared" si="7"/>
        <v>3885243.6006731638</v>
      </c>
      <c r="P48" s="17">
        <f t="shared" si="8"/>
        <v>1635550.6627762227</v>
      </c>
      <c r="Q48" s="17">
        <f t="shared" si="9"/>
        <v>13042.110663564225</v>
      </c>
      <c r="R48" s="17">
        <f t="shared" si="10"/>
        <v>5533836.3741129506</v>
      </c>
      <c r="S48" s="17">
        <f t="shared" si="11"/>
        <v>492764232.5921644</v>
      </c>
      <c r="T48" s="17">
        <f>+F48*L48</f>
        <v>0</v>
      </c>
      <c r="U48" s="17">
        <f t="shared" si="12"/>
        <v>492764232.5921644</v>
      </c>
      <c r="V48" s="17">
        <f t="shared" si="13"/>
        <v>-5533836.3741129506</v>
      </c>
      <c r="W48" s="16">
        <f>-F48</f>
        <v>0</v>
      </c>
      <c r="X48" s="16">
        <f t="shared" si="14"/>
        <v>0</v>
      </c>
      <c r="Y48" s="16"/>
      <c r="Z48" s="16"/>
      <c r="AA48" s="2">
        <v>24</v>
      </c>
      <c r="AB48" s="20">
        <v>421.30574585826542</v>
      </c>
      <c r="AC48" s="19">
        <f t="shared" si="15"/>
        <v>4.7176666275132728E-3</v>
      </c>
      <c r="AD48" s="17">
        <f t="shared" si="16"/>
        <v>503372311.69865954</v>
      </c>
      <c r="AE48" s="17">
        <f t="shared" si="17"/>
        <v>4013961.5015070285</v>
      </c>
      <c r="AF48" s="17">
        <f t="shared" si="18"/>
        <v>2374742.7561149751</v>
      </c>
      <c r="AG48" s="17">
        <f t="shared" si="19"/>
        <v>18936.532219782777</v>
      </c>
      <c r="AH48" s="17">
        <f t="shared" si="20"/>
        <v>6407640.789841786</v>
      </c>
      <c r="AI48" s="17">
        <f t="shared" si="21"/>
        <v>509779952.48850131</v>
      </c>
      <c r="AJ48" s="17">
        <f>+AB48*F48</f>
        <v>0</v>
      </c>
      <c r="AK48" s="17">
        <f t="shared" si="22"/>
        <v>509779952.48850131</v>
      </c>
      <c r="AL48" s="17">
        <f t="shared" si="23"/>
        <v>-6407640.789841786</v>
      </c>
      <c r="AM48" s="16">
        <f>-F48</f>
        <v>0</v>
      </c>
      <c r="AN48" s="16">
        <f t="shared" si="24"/>
        <v>0</v>
      </c>
      <c r="AQ48" s="2">
        <v>24</v>
      </c>
      <c r="AR48" s="20">
        <v>415.76424823294161</v>
      </c>
      <c r="AS48" s="19">
        <f t="shared" si="25"/>
        <v>5.0919707664298652E-3</v>
      </c>
      <c r="AT48" s="17">
        <f t="shared" si="26"/>
        <v>496566386.11875814</v>
      </c>
      <c r="AU48" s="17">
        <f t="shared" si="27"/>
        <v>3959690.0951842261</v>
      </c>
      <c r="AV48" s="17">
        <f t="shared" si="28"/>
        <v>2528501.5217084414</v>
      </c>
      <c r="AW48" s="17">
        <f t="shared" si="29"/>
        <v>20162.626208799971</v>
      </c>
      <c r="AX48" s="17">
        <f t="shared" si="30"/>
        <v>6508354.2431014674</v>
      </c>
      <c r="AY48" s="17">
        <f t="shared" si="31"/>
        <v>503074740.36185962</v>
      </c>
      <c r="AZ48" s="17">
        <f>+AR48*F48</f>
        <v>0</v>
      </c>
      <c r="BA48" s="17">
        <f t="shared" si="32"/>
        <v>503074740.36185962</v>
      </c>
      <c r="BB48" s="17">
        <f t="shared" si="33"/>
        <v>-6508354.2431014674</v>
      </c>
      <c r="BC48" s="16">
        <f t="shared" si="34"/>
        <v>5533836.3741129506</v>
      </c>
      <c r="BD48" s="16">
        <f t="shared" si="35"/>
        <v>0</v>
      </c>
    </row>
    <row r="49" spans="2:56" x14ac:dyDescent="0.35">
      <c r="B49" s="2">
        <v>25</v>
      </c>
      <c r="C49" s="17">
        <f t="shared" si="0"/>
        <v>1210000</v>
      </c>
      <c r="D49" s="18">
        <f t="shared" si="1"/>
        <v>9648.7099189735545</v>
      </c>
      <c r="E49" s="17">
        <f t="shared" si="2"/>
        <v>1219648.7099189735</v>
      </c>
      <c r="F49" s="18">
        <v>0</v>
      </c>
      <c r="G49" s="17">
        <f t="shared" si="3"/>
        <v>1219648.7099189735</v>
      </c>
      <c r="H49" s="17">
        <f t="shared" si="4"/>
        <v>-9648.7099189735545</v>
      </c>
      <c r="I49" s="16"/>
      <c r="J49" s="16"/>
      <c r="K49" s="2">
        <v>25</v>
      </c>
      <c r="L49" s="2">
        <v>408.60675276275049</v>
      </c>
      <c r="M49" s="19">
        <f t="shared" si="5"/>
        <v>3.3483320047078546E-3</v>
      </c>
      <c r="N49" s="17">
        <f t="shared" si="6"/>
        <v>492764232.5921644</v>
      </c>
      <c r="O49" s="17">
        <f t="shared" si="7"/>
        <v>3929371.189030916</v>
      </c>
      <c r="P49" s="17">
        <f t="shared" si="8"/>
        <v>1649938.2507636494</v>
      </c>
      <c r="Q49" s="17">
        <f t="shared" si="9"/>
        <v>13156.839310609173</v>
      </c>
      <c r="R49" s="17">
        <f t="shared" si="10"/>
        <v>5592466.2791051744</v>
      </c>
      <c r="S49" s="17">
        <f t="shared" si="11"/>
        <v>498356698.87126958</v>
      </c>
      <c r="T49" s="17">
        <f>+F49*L49</f>
        <v>0</v>
      </c>
      <c r="U49" s="17">
        <f t="shared" si="12"/>
        <v>498356698.87126958</v>
      </c>
      <c r="V49" s="17">
        <f t="shared" si="13"/>
        <v>-5592466.2791051744</v>
      </c>
      <c r="W49" s="16">
        <f>-F49</f>
        <v>0</v>
      </c>
      <c r="X49" s="16">
        <f t="shared" si="14"/>
        <v>0</v>
      </c>
      <c r="Y49" s="16"/>
      <c r="Z49" s="16"/>
      <c r="AA49" s="2">
        <v>25</v>
      </c>
      <c r="AB49" s="20">
        <v>423.29332591548052</v>
      </c>
      <c r="AC49" s="19">
        <f t="shared" si="15"/>
        <v>4.7176666275132728E-3</v>
      </c>
      <c r="AD49" s="17">
        <f t="shared" si="16"/>
        <v>509779952.48850131</v>
      </c>
      <c r="AE49" s="17">
        <f t="shared" si="17"/>
        <v>4065056.9289831985</v>
      </c>
      <c r="AF49" s="17">
        <f t="shared" si="18"/>
        <v>2404971.8692303044</v>
      </c>
      <c r="AG49" s="17">
        <f t="shared" si="19"/>
        <v>19177.583412805627</v>
      </c>
      <c r="AH49" s="17">
        <f t="shared" si="20"/>
        <v>6489206.381626308</v>
      </c>
      <c r="AI49" s="17">
        <f t="shared" si="21"/>
        <v>516269158.87012762</v>
      </c>
      <c r="AJ49" s="17">
        <f>+AB49*F49</f>
        <v>0</v>
      </c>
      <c r="AK49" s="17">
        <f t="shared" si="22"/>
        <v>516269158.87012762</v>
      </c>
      <c r="AL49" s="17">
        <f t="shared" si="23"/>
        <v>-6489206.381626308</v>
      </c>
      <c r="AM49" s="16">
        <f>-F49</f>
        <v>0</v>
      </c>
      <c r="AN49" s="16">
        <f t="shared" si="24"/>
        <v>0</v>
      </c>
      <c r="AQ49" s="2">
        <v>25</v>
      </c>
      <c r="AR49" s="20">
        <v>417.24034994188878</v>
      </c>
      <c r="AS49" s="19">
        <f t="shared" si="25"/>
        <v>3.5503334286697275E-3</v>
      </c>
      <c r="AT49" s="17">
        <f t="shared" si="26"/>
        <v>503074740.36185962</v>
      </c>
      <c r="AU49" s="17">
        <f t="shared" si="27"/>
        <v>4011588.6258797692</v>
      </c>
      <c r="AV49" s="17">
        <f t="shared" si="28"/>
        <v>1786083.0678260541</v>
      </c>
      <c r="AW49" s="17">
        <f t="shared" si="29"/>
        <v>14242.477200532201</v>
      </c>
      <c r="AX49" s="17">
        <f t="shared" si="30"/>
        <v>5811914.1709063556</v>
      </c>
      <c r="AY49" s="17">
        <f t="shared" si="31"/>
        <v>508886654.53276598</v>
      </c>
      <c r="AZ49" s="17">
        <f>+AR49*F49</f>
        <v>0</v>
      </c>
      <c r="BA49" s="17">
        <f t="shared" si="32"/>
        <v>508886654.53276598</v>
      </c>
      <c r="BB49" s="17">
        <f t="shared" si="33"/>
        <v>-5811914.1709063556</v>
      </c>
      <c r="BC49" s="16">
        <f t="shared" si="34"/>
        <v>5592466.2791051744</v>
      </c>
      <c r="BD49" s="16">
        <f t="shared" si="35"/>
        <v>0</v>
      </c>
    </row>
    <row r="50" spans="2:56" x14ac:dyDescent="0.35">
      <c r="B50" s="2">
        <v>26</v>
      </c>
      <c r="C50" s="17">
        <f t="shared" si="0"/>
        <v>1219648.7099189735</v>
      </c>
      <c r="D50" s="18">
        <f t="shared" si="1"/>
        <v>9725.650086825206</v>
      </c>
      <c r="E50" s="17">
        <f t="shared" si="2"/>
        <v>1229374.3600057987</v>
      </c>
      <c r="F50" s="18">
        <v>0</v>
      </c>
      <c r="G50" s="17">
        <f t="shared" si="3"/>
        <v>1229374.3600057987</v>
      </c>
      <c r="H50" s="17">
        <f t="shared" si="4"/>
        <v>-9725.650086825206</v>
      </c>
      <c r="I50" s="16"/>
      <c r="J50" s="16"/>
      <c r="K50" s="2">
        <v>26</v>
      </c>
      <c r="L50" s="2">
        <v>409.9691219922791</v>
      </c>
      <c r="M50" s="19">
        <f t="shared" si="5"/>
        <v>3.3341818761365438E-3</v>
      </c>
      <c r="N50" s="17">
        <f t="shared" si="6"/>
        <v>498356698.87126958</v>
      </c>
      <c r="O50" s="17">
        <f t="shared" si="7"/>
        <v>3973966.3004844096</v>
      </c>
      <c r="P50" s="17">
        <f t="shared" si="8"/>
        <v>1661611.8732278242</v>
      </c>
      <c r="Q50" s="17">
        <f t="shared" si="9"/>
        <v>13249.926415452508</v>
      </c>
      <c r="R50" s="17">
        <f t="shared" si="10"/>
        <v>5648828.1001276867</v>
      </c>
      <c r="S50" s="17">
        <f t="shared" si="11"/>
        <v>504005526.97139728</v>
      </c>
      <c r="T50" s="17">
        <f>+F50*L50</f>
        <v>0</v>
      </c>
      <c r="U50" s="17">
        <f t="shared" si="12"/>
        <v>504005526.97139728</v>
      </c>
      <c r="V50" s="17">
        <f t="shared" si="13"/>
        <v>-5648828.1001276867</v>
      </c>
      <c r="W50" s="16">
        <f>-F50</f>
        <v>0</v>
      </c>
      <c r="X50" s="16">
        <f t="shared" si="14"/>
        <v>0</v>
      </c>
      <c r="Y50" s="16"/>
      <c r="Z50" s="16"/>
      <c r="AA50" s="2">
        <v>26</v>
      </c>
      <c r="AB50" s="20">
        <v>425.29028271280112</v>
      </c>
      <c r="AC50" s="19">
        <f t="shared" si="15"/>
        <v>4.7176666275132728E-3</v>
      </c>
      <c r="AD50" s="17">
        <f t="shared" si="16"/>
        <v>516269158.87012762</v>
      </c>
      <c r="AE50" s="17">
        <f t="shared" si="17"/>
        <v>4116802.7719424251</v>
      </c>
      <c r="AF50" s="17">
        <f t="shared" si="18"/>
        <v>2435585.7816159492</v>
      </c>
      <c r="AG50" s="17">
        <f t="shared" si="19"/>
        <v>19421.703049246913</v>
      </c>
      <c r="AH50" s="17">
        <f t="shared" si="20"/>
        <v>6571810.256607621</v>
      </c>
      <c r="AI50" s="17">
        <f t="shared" si="21"/>
        <v>522840969.12673521</v>
      </c>
      <c r="AJ50" s="17">
        <f>+AB50*F50</f>
        <v>0</v>
      </c>
      <c r="AK50" s="17">
        <f t="shared" si="22"/>
        <v>522840969.12673521</v>
      </c>
      <c r="AL50" s="17">
        <f t="shared" si="23"/>
        <v>-6571810.256607621</v>
      </c>
      <c r="AM50" s="16">
        <f>-F50</f>
        <v>0</v>
      </c>
      <c r="AN50" s="16">
        <f t="shared" si="24"/>
        <v>0</v>
      </c>
      <c r="AQ50" s="2">
        <v>26</v>
      </c>
      <c r="AR50" s="20">
        <v>418.03167758611818</v>
      </c>
      <c r="AS50" s="19">
        <f t="shared" si="25"/>
        <v>1.8965750660011604E-3</v>
      </c>
      <c r="AT50" s="17">
        <f t="shared" si="26"/>
        <v>508886654.53276598</v>
      </c>
      <c r="AU50" s="17">
        <f t="shared" si="27"/>
        <v>4057933.6456393125</v>
      </c>
      <c r="AV50" s="17">
        <f t="shared" si="28"/>
        <v>965141.74040759041</v>
      </c>
      <c r="AW50" s="17">
        <f t="shared" si="29"/>
        <v>7696.1757718067083</v>
      </c>
      <c r="AX50" s="17">
        <f t="shared" si="30"/>
        <v>5030771.5618187096</v>
      </c>
      <c r="AY50" s="17">
        <f t="shared" si="31"/>
        <v>513917426.0945847</v>
      </c>
      <c r="AZ50" s="17">
        <f>+AR50*F50</f>
        <v>0</v>
      </c>
      <c r="BA50" s="17">
        <f t="shared" si="32"/>
        <v>513917426.0945847</v>
      </c>
      <c r="BB50" s="17">
        <f t="shared" si="33"/>
        <v>-5030771.5618187096</v>
      </c>
      <c r="BC50" s="16">
        <f t="shared" si="34"/>
        <v>5648828.1001276867</v>
      </c>
      <c r="BD50" s="16">
        <f t="shared" si="35"/>
        <v>0</v>
      </c>
    </row>
    <row r="51" spans="2:56" x14ac:dyDescent="0.35">
      <c r="B51" s="2">
        <v>27</v>
      </c>
      <c r="C51" s="17">
        <f t="shared" si="0"/>
        <v>1229374.3600057987</v>
      </c>
      <c r="D51" s="18">
        <f t="shared" si="1"/>
        <v>9803.2037863799305</v>
      </c>
      <c r="E51" s="17">
        <f t="shared" si="2"/>
        <v>1239177.5637921786</v>
      </c>
      <c r="F51" s="18">
        <v>0</v>
      </c>
      <c r="G51" s="17">
        <f t="shared" si="3"/>
        <v>1239177.5637921786</v>
      </c>
      <c r="H51" s="17">
        <f t="shared" si="4"/>
        <v>-9803.2037863799305</v>
      </c>
      <c r="I51" s="16"/>
      <c r="J51" s="16"/>
      <c r="K51" s="2">
        <v>27</v>
      </c>
      <c r="L51" s="2">
        <v>411.33266737218167</v>
      </c>
      <c r="M51" s="19">
        <f t="shared" si="5"/>
        <v>3.3259709250206271E-3</v>
      </c>
      <c r="N51" s="17">
        <f t="shared" si="6"/>
        <v>504005526.97139728</v>
      </c>
      <c r="O51" s="17">
        <f t="shared" si="7"/>
        <v>4019010.8490135656</v>
      </c>
      <c r="P51" s="17">
        <f t="shared" si="8"/>
        <v>1676307.7287565668</v>
      </c>
      <c r="Q51" s="17">
        <f t="shared" si="9"/>
        <v>13367.113231161584</v>
      </c>
      <c r="R51" s="17">
        <f t="shared" si="10"/>
        <v>5708685.6910012942</v>
      </c>
      <c r="S51" s="17">
        <f t="shared" si="11"/>
        <v>509714212.66239858</v>
      </c>
      <c r="T51" s="17">
        <f>+F51*L51</f>
        <v>0</v>
      </c>
      <c r="U51" s="17">
        <f t="shared" si="12"/>
        <v>509714212.66239858</v>
      </c>
      <c r="V51" s="17">
        <f t="shared" si="13"/>
        <v>-5708685.6910012942</v>
      </c>
      <c r="W51" s="16">
        <f>-F51</f>
        <v>0</v>
      </c>
      <c r="X51" s="16">
        <f t="shared" si="14"/>
        <v>0</v>
      </c>
      <c r="Y51" s="16"/>
      <c r="Z51" s="16"/>
      <c r="AA51" s="2">
        <v>27</v>
      </c>
      <c r="AB51" s="20">
        <v>427.29666048656088</v>
      </c>
      <c r="AC51" s="19">
        <f t="shared" si="15"/>
        <v>4.7176666275130508E-3</v>
      </c>
      <c r="AD51" s="17">
        <f t="shared" si="16"/>
        <v>522840969.12673521</v>
      </c>
      <c r="AE51" s="17">
        <f t="shared" si="17"/>
        <v>4169207.309800724</v>
      </c>
      <c r="AF51" s="17">
        <f t="shared" si="18"/>
        <v>2466589.39154578</v>
      </c>
      <c r="AG51" s="17">
        <f t="shared" si="19"/>
        <v>19668.93018863034</v>
      </c>
      <c r="AH51" s="17">
        <f t="shared" si="20"/>
        <v>6655465.6315351343</v>
      </c>
      <c r="AI51" s="17">
        <f t="shared" si="21"/>
        <v>529496434.75827032</v>
      </c>
      <c r="AJ51" s="17">
        <f>+AB51*F51</f>
        <v>0</v>
      </c>
      <c r="AK51" s="17">
        <f t="shared" si="22"/>
        <v>529496434.75827032</v>
      </c>
      <c r="AL51" s="17">
        <f t="shared" si="23"/>
        <v>-6655465.6315351343</v>
      </c>
      <c r="AM51" s="16">
        <f>-F51</f>
        <v>0</v>
      </c>
      <c r="AN51" s="16">
        <f t="shared" si="24"/>
        <v>0</v>
      </c>
      <c r="AQ51" s="2">
        <v>27</v>
      </c>
      <c r="AR51" s="20">
        <v>418.62581390609603</v>
      </c>
      <c r="AS51" s="19">
        <f t="shared" si="25"/>
        <v>1.4212710467509382E-3</v>
      </c>
      <c r="AT51" s="17">
        <f t="shared" si="26"/>
        <v>513917426.0945847</v>
      </c>
      <c r="AU51" s="17">
        <f t="shared" si="27"/>
        <v>4098049.7245389903</v>
      </c>
      <c r="AV51" s="17">
        <f t="shared" si="28"/>
        <v>730415.95812899829</v>
      </c>
      <c r="AW51" s="17">
        <f t="shared" si="29"/>
        <v>5824.4394216329247</v>
      </c>
      <c r="AX51" s="17">
        <f t="shared" si="30"/>
        <v>4834290.1220896216</v>
      </c>
      <c r="AY51" s="17">
        <f t="shared" si="31"/>
        <v>518751716.21667433</v>
      </c>
      <c r="AZ51" s="17">
        <f>+AR51*F51</f>
        <v>0</v>
      </c>
      <c r="BA51" s="17">
        <f t="shared" si="32"/>
        <v>518751716.21667433</v>
      </c>
      <c r="BB51" s="17">
        <f t="shared" si="33"/>
        <v>-4834290.1220896216</v>
      </c>
      <c r="BC51" s="16">
        <f t="shared" si="34"/>
        <v>5708685.6910012942</v>
      </c>
      <c r="BD51" s="16">
        <f t="shared" si="35"/>
        <v>0</v>
      </c>
    </row>
    <row r="52" spans="2:56" x14ac:dyDescent="0.35">
      <c r="B52" s="2">
        <v>28</v>
      </c>
      <c r="C52" s="17">
        <f t="shared" si="0"/>
        <v>1239177.5637921786</v>
      </c>
      <c r="D52" s="18">
        <f t="shared" si="1"/>
        <v>9881.3759100256848</v>
      </c>
      <c r="E52" s="17">
        <f t="shared" si="2"/>
        <v>1249058.9397022044</v>
      </c>
      <c r="F52" s="18">
        <v>0</v>
      </c>
      <c r="G52" s="17">
        <f t="shared" si="3"/>
        <v>1249058.9397022044</v>
      </c>
      <c r="H52" s="17">
        <f t="shared" si="4"/>
        <v>-9881.3759100256848</v>
      </c>
      <c r="I52" s="16"/>
      <c r="J52" s="16"/>
      <c r="K52" s="2">
        <v>28</v>
      </c>
      <c r="L52" s="2">
        <v>412.69518331425229</v>
      </c>
      <c r="M52" s="19">
        <f t="shared" si="5"/>
        <v>3.3124428234088121E-3</v>
      </c>
      <c r="N52" s="17">
        <f t="shared" si="6"/>
        <v>509714212.66239858</v>
      </c>
      <c r="O52" s="17">
        <f t="shared" si="7"/>
        <v>4064532.7103780834</v>
      </c>
      <c r="P52" s="17">
        <f t="shared" si="8"/>
        <v>1688399.1857230351</v>
      </c>
      <c r="Q52" s="17">
        <f t="shared" si="9"/>
        <v>13463.53220700225</v>
      </c>
      <c r="R52" s="17">
        <f t="shared" si="10"/>
        <v>5766395.4283081209</v>
      </c>
      <c r="S52" s="17">
        <f t="shared" si="11"/>
        <v>515480608.09070671</v>
      </c>
      <c r="T52" s="17">
        <f>+F52*L52</f>
        <v>0</v>
      </c>
      <c r="U52" s="17">
        <f t="shared" si="12"/>
        <v>515480608.09070671</v>
      </c>
      <c r="V52" s="17">
        <f t="shared" si="13"/>
        <v>-5766395.4283081209</v>
      </c>
      <c r="W52" s="16">
        <f>-F52</f>
        <v>0</v>
      </c>
      <c r="X52" s="16">
        <f t="shared" si="14"/>
        <v>0</v>
      </c>
      <c r="Y52" s="16"/>
      <c r="Z52" s="16"/>
      <c r="AA52" s="2">
        <v>28</v>
      </c>
      <c r="AB52" s="20">
        <v>429.31250368178632</v>
      </c>
      <c r="AC52" s="19">
        <f t="shared" si="15"/>
        <v>4.7176666275134949E-3</v>
      </c>
      <c r="AD52" s="17">
        <f t="shared" si="16"/>
        <v>529496434.75827032</v>
      </c>
      <c r="AE52" s="17">
        <f t="shared" si="17"/>
        <v>4222278.9273663275</v>
      </c>
      <c r="AF52" s="17">
        <f t="shared" si="18"/>
        <v>2497987.6596464682</v>
      </c>
      <c r="AG52" s="17">
        <f t="shared" si="19"/>
        <v>19919.304387689597</v>
      </c>
      <c r="AH52" s="17">
        <f t="shared" si="20"/>
        <v>6740185.8914004853</v>
      </c>
      <c r="AI52" s="17">
        <f t="shared" si="21"/>
        <v>536236620.64967078</v>
      </c>
      <c r="AJ52" s="17">
        <f>+AB52*F52</f>
        <v>0</v>
      </c>
      <c r="AK52" s="17">
        <f t="shared" si="22"/>
        <v>536236620.64967078</v>
      </c>
      <c r="AL52" s="17">
        <f t="shared" si="23"/>
        <v>-6740185.8914004853</v>
      </c>
      <c r="AM52" s="16">
        <f>-F52</f>
        <v>0</v>
      </c>
      <c r="AN52" s="16">
        <f t="shared" si="24"/>
        <v>0</v>
      </c>
      <c r="AQ52" s="2">
        <v>28</v>
      </c>
      <c r="AR52" s="20">
        <v>420.02487079707851</v>
      </c>
      <c r="AS52" s="19">
        <f t="shared" si="25"/>
        <v>3.3420225043654384E-3</v>
      </c>
      <c r="AT52" s="17">
        <f t="shared" si="26"/>
        <v>518751716.21667433</v>
      </c>
      <c r="AU52" s="17">
        <f t="shared" si="27"/>
        <v>4136599.0328465952</v>
      </c>
      <c r="AV52" s="17">
        <f t="shared" si="28"/>
        <v>1733679.909774319</v>
      </c>
      <c r="AW52" s="17">
        <f t="shared" si="29"/>
        <v>13824.607059309628</v>
      </c>
      <c r="AX52" s="17">
        <f t="shared" si="30"/>
        <v>5884103.5496802237</v>
      </c>
      <c r="AY52" s="17">
        <f t="shared" si="31"/>
        <v>524635819.76635456</v>
      </c>
      <c r="AZ52" s="17">
        <f>+AR52*F52</f>
        <v>0</v>
      </c>
      <c r="BA52" s="17">
        <f t="shared" si="32"/>
        <v>524635819.76635456</v>
      </c>
      <c r="BB52" s="17">
        <f t="shared" si="33"/>
        <v>-5884103.5496802237</v>
      </c>
      <c r="BC52" s="16">
        <f t="shared" si="34"/>
        <v>5766395.4283081209</v>
      </c>
      <c r="BD52" s="16">
        <f t="shared" si="35"/>
        <v>0</v>
      </c>
    </row>
    <row r="53" spans="2:56" x14ac:dyDescent="0.35">
      <c r="B53" s="2">
        <v>29</v>
      </c>
      <c r="C53" s="17">
        <f t="shared" si="0"/>
        <v>1249058.9397022044</v>
      </c>
      <c r="D53" s="18">
        <f t="shared" si="1"/>
        <v>9960.171389163017</v>
      </c>
      <c r="E53" s="17">
        <f t="shared" si="2"/>
        <v>1259019.1110913674</v>
      </c>
      <c r="F53" s="18">
        <v>0</v>
      </c>
      <c r="G53" s="17">
        <f t="shared" si="3"/>
        <v>1259019.1110913674</v>
      </c>
      <c r="H53" s="17">
        <f t="shared" si="4"/>
        <v>-9960.171389163017</v>
      </c>
      <c r="I53" s="16"/>
      <c r="J53" s="16"/>
      <c r="K53" s="2">
        <v>29</v>
      </c>
      <c r="L53" s="2">
        <v>414.05853175686292</v>
      </c>
      <c r="M53" s="19">
        <f t="shared" si="5"/>
        <v>3.3035239996306309E-3</v>
      </c>
      <c r="N53" s="17">
        <f t="shared" si="6"/>
        <v>515480608.09070671</v>
      </c>
      <c r="O53" s="17">
        <f t="shared" si="7"/>
        <v>4110514.757292001</v>
      </c>
      <c r="P53" s="17">
        <f t="shared" si="8"/>
        <v>1702902.5601718412</v>
      </c>
      <c r="Q53" s="17">
        <f t="shared" si="9"/>
        <v>13579.184151550004</v>
      </c>
      <c r="R53" s="17">
        <f t="shared" si="10"/>
        <v>5826996.501615392</v>
      </c>
      <c r="S53" s="17">
        <f t="shared" si="11"/>
        <v>521307604.59232211</v>
      </c>
      <c r="T53" s="17">
        <f>+F53*L53</f>
        <v>0</v>
      </c>
      <c r="U53" s="17">
        <f t="shared" si="12"/>
        <v>521307604.59232211</v>
      </c>
      <c r="V53" s="17">
        <f t="shared" si="13"/>
        <v>-5826996.501615392</v>
      </c>
      <c r="W53" s="16">
        <f>-F53</f>
        <v>0</v>
      </c>
      <c r="X53" s="16">
        <f t="shared" si="14"/>
        <v>0</v>
      </c>
      <c r="Y53" s="16"/>
      <c r="Z53" s="16"/>
      <c r="AA53" s="2">
        <v>29</v>
      </c>
      <c r="AB53" s="20">
        <v>431.33785695317988</v>
      </c>
      <c r="AC53" s="19">
        <f t="shared" si="15"/>
        <v>4.7176666275128287E-3</v>
      </c>
      <c r="AD53" s="17">
        <f t="shared" si="16"/>
        <v>536236620.64967078</v>
      </c>
      <c r="AE53" s="17">
        <f t="shared" si="17"/>
        <v>4276026.1161812712</v>
      </c>
      <c r="AF53" s="17">
        <f t="shared" si="18"/>
        <v>2529785.6096892082</v>
      </c>
      <c r="AG53" s="17">
        <f t="shared" si="19"/>
        <v>20172.865706681678</v>
      </c>
      <c r="AH53" s="17">
        <f t="shared" si="20"/>
        <v>6825984.5915771611</v>
      </c>
      <c r="AI53" s="17">
        <f t="shared" si="21"/>
        <v>543062605.24124789</v>
      </c>
      <c r="AJ53" s="17">
        <f>+AB53*F53</f>
        <v>0</v>
      </c>
      <c r="AK53" s="17">
        <f t="shared" si="22"/>
        <v>543062605.24124789</v>
      </c>
      <c r="AL53" s="17">
        <f t="shared" si="23"/>
        <v>-6825984.5915771611</v>
      </c>
      <c r="AM53" s="16">
        <f>-F53</f>
        <v>0</v>
      </c>
      <c r="AN53" s="16">
        <f t="shared" si="24"/>
        <v>0</v>
      </c>
      <c r="AQ53" s="2">
        <v>29</v>
      </c>
      <c r="AR53" s="20">
        <v>423.31073175209332</v>
      </c>
      <c r="AS53" s="19">
        <f t="shared" si="25"/>
        <v>7.8230152152163335E-3</v>
      </c>
      <c r="AT53" s="17">
        <f t="shared" si="26"/>
        <v>524635819.76635456</v>
      </c>
      <c r="AU53" s="17">
        <f t="shared" si="27"/>
        <v>4183519.7008499564</v>
      </c>
      <c r="AV53" s="17">
        <f t="shared" si="28"/>
        <v>4104234.0004796856</v>
      </c>
      <c r="AW53" s="17">
        <f t="shared" si="29"/>
        <v>32727.738272906492</v>
      </c>
      <c r="AX53" s="17">
        <f t="shared" si="30"/>
        <v>8320481.4396025483</v>
      </c>
      <c r="AY53" s="17">
        <f t="shared" si="31"/>
        <v>532956301.20595711</v>
      </c>
      <c r="AZ53" s="17">
        <f>+AR53*F53</f>
        <v>0</v>
      </c>
      <c r="BA53" s="17">
        <f t="shared" si="32"/>
        <v>532956301.20595711</v>
      </c>
      <c r="BB53" s="17">
        <f t="shared" si="33"/>
        <v>-8320481.4396025483</v>
      </c>
      <c r="BC53" s="16">
        <f t="shared" si="34"/>
        <v>5826996.501615392</v>
      </c>
      <c r="BD53" s="16">
        <f t="shared" si="35"/>
        <v>0</v>
      </c>
    </row>
    <row r="54" spans="2:56" x14ac:dyDescent="0.35">
      <c r="B54" s="2">
        <v>30</v>
      </c>
      <c r="C54" s="17">
        <f t="shared" si="0"/>
        <v>1259019.1110913674</v>
      </c>
      <c r="D54" s="18">
        <f t="shared" si="1"/>
        <v>10039.595194516152</v>
      </c>
      <c r="E54" s="17">
        <f t="shared" si="2"/>
        <v>1269058.7062858837</v>
      </c>
      <c r="F54" s="18">
        <v>0</v>
      </c>
      <c r="G54" s="17">
        <f t="shared" si="3"/>
        <v>1269058.7062858837</v>
      </c>
      <c r="H54" s="17">
        <f t="shared" si="4"/>
        <v>-10039.595194516152</v>
      </c>
      <c r="I54" s="16"/>
      <c r="J54" s="16"/>
      <c r="K54" s="2">
        <v>30</v>
      </c>
      <c r="L54" s="2">
        <v>415.42126400383682</v>
      </c>
      <c r="M54" s="19">
        <f t="shared" si="5"/>
        <v>3.2911584775026093E-3</v>
      </c>
      <c r="N54" s="17">
        <f t="shared" si="6"/>
        <v>521307604.59232211</v>
      </c>
      <c r="O54" s="17">
        <f t="shared" si="7"/>
        <v>4156980.0456746132</v>
      </c>
      <c r="P54" s="17">
        <f t="shared" si="8"/>
        <v>1715705.9422405991</v>
      </c>
      <c r="Q54" s="17">
        <f t="shared" si="9"/>
        <v>13681.280118131188</v>
      </c>
      <c r="R54" s="17">
        <f t="shared" si="10"/>
        <v>5886367.2680333434</v>
      </c>
      <c r="S54" s="17">
        <f t="shared" si="11"/>
        <v>527193971.86035544</v>
      </c>
      <c r="T54" s="17">
        <f>+F54*L54</f>
        <v>0</v>
      </c>
      <c r="U54" s="17">
        <f t="shared" si="12"/>
        <v>527193971.86035544</v>
      </c>
      <c r="V54" s="17">
        <f t="shared" si="13"/>
        <v>-5886367.2680333434</v>
      </c>
      <c r="W54" s="16">
        <f>-F54</f>
        <v>0</v>
      </c>
      <c r="X54" s="16">
        <f t="shared" si="14"/>
        <v>0</v>
      </c>
      <c r="Y54" s="16"/>
      <c r="Z54" s="16"/>
      <c r="AA54" s="2">
        <v>30</v>
      </c>
      <c r="AB54" s="20">
        <v>433.37276516611109</v>
      </c>
      <c r="AC54" s="19">
        <f t="shared" si="15"/>
        <v>4.7176666275134949E-3</v>
      </c>
      <c r="AD54" s="17">
        <f t="shared" si="16"/>
        <v>543062605.24124789</v>
      </c>
      <c r="AE54" s="17">
        <f t="shared" si="17"/>
        <v>4330457.4758800399</v>
      </c>
      <c r="AF54" s="17">
        <f t="shared" si="18"/>
        <v>2561988.3293971703</v>
      </c>
      <c r="AG54" s="17">
        <f t="shared" si="19"/>
        <v>20429.654715825589</v>
      </c>
      <c r="AH54" s="17">
        <f t="shared" si="20"/>
        <v>6912875.4599930365</v>
      </c>
      <c r="AI54" s="17">
        <f t="shared" si="21"/>
        <v>549975480.7012409</v>
      </c>
      <c r="AJ54" s="17">
        <f>+AB54*F54</f>
        <v>0</v>
      </c>
      <c r="AK54" s="17">
        <f t="shared" si="22"/>
        <v>549975480.7012409</v>
      </c>
      <c r="AL54" s="17">
        <f t="shared" si="23"/>
        <v>-6912875.4599930365</v>
      </c>
      <c r="AM54" s="16">
        <f>-F54</f>
        <v>0</v>
      </c>
      <c r="AN54" s="16">
        <f t="shared" si="24"/>
        <v>0</v>
      </c>
      <c r="AQ54" s="2">
        <v>30</v>
      </c>
      <c r="AR54" s="20">
        <v>426.07056319790149</v>
      </c>
      <c r="AS54" s="19">
        <f t="shared" si="25"/>
        <v>6.5196349603167114E-3</v>
      </c>
      <c r="AT54" s="17">
        <f t="shared" si="26"/>
        <v>532956301.20595711</v>
      </c>
      <c r="AU54" s="17">
        <f t="shared" si="27"/>
        <v>4249868.3882854348</v>
      </c>
      <c r="AV54" s="17">
        <f t="shared" si="28"/>
        <v>3474680.5336634414</v>
      </c>
      <c r="AW54" s="17">
        <f t="shared" si="29"/>
        <v>27707.590521010556</v>
      </c>
      <c r="AX54" s="17">
        <f t="shared" si="30"/>
        <v>7752256.5124698868</v>
      </c>
      <c r="AY54" s="17">
        <f t="shared" si="31"/>
        <v>540708557.71842694</v>
      </c>
      <c r="AZ54" s="17">
        <f>+AR54*F54</f>
        <v>0</v>
      </c>
      <c r="BA54" s="17">
        <f t="shared" si="32"/>
        <v>540708557.71842694</v>
      </c>
      <c r="BB54" s="17">
        <f t="shared" si="33"/>
        <v>-7752256.5124698868</v>
      </c>
      <c r="BC54" s="16">
        <f t="shared" si="34"/>
        <v>5886367.2680333434</v>
      </c>
      <c r="BD54" s="16">
        <f t="shared" si="35"/>
        <v>0</v>
      </c>
    </row>
    <row r="55" spans="2:56" x14ac:dyDescent="0.35">
      <c r="B55" s="2">
        <v>31</v>
      </c>
      <c r="C55" s="17">
        <f t="shared" si="0"/>
        <v>1269058.7062858837</v>
      </c>
      <c r="D55" s="18">
        <f t="shared" si="1"/>
        <v>10119.652336446572</v>
      </c>
      <c r="E55" s="17">
        <f t="shared" si="2"/>
        <v>1279178.3586223302</v>
      </c>
      <c r="F55" s="18">
        <v>0</v>
      </c>
      <c r="G55" s="17">
        <f t="shared" si="3"/>
        <v>1279178.3586223302</v>
      </c>
      <c r="H55" s="17">
        <f t="shared" si="4"/>
        <v>-10119.652336446572</v>
      </c>
      <c r="I55" s="16"/>
      <c r="J55" s="16"/>
      <c r="K55" s="2">
        <v>31</v>
      </c>
      <c r="L55" s="2">
        <v>416.78440635494343</v>
      </c>
      <c r="M55" s="19">
        <f t="shared" si="5"/>
        <v>3.2813494859857961E-3</v>
      </c>
      <c r="N55" s="17">
        <f t="shared" si="6"/>
        <v>527193971.86035544</v>
      </c>
      <c r="O55" s="17">
        <f t="shared" si="7"/>
        <v>4203918.7648860142</v>
      </c>
      <c r="P55" s="17">
        <f t="shared" si="8"/>
        <v>1729907.6685787875</v>
      </c>
      <c r="Q55" s="17">
        <f t="shared" si="9"/>
        <v>13794.526678284765</v>
      </c>
      <c r="R55" s="17">
        <f t="shared" si="10"/>
        <v>5947620.9601430865</v>
      </c>
      <c r="S55" s="17">
        <f t="shared" si="11"/>
        <v>533141592.82049853</v>
      </c>
      <c r="T55" s="17">
        <f>+F55*L55</f>
        <v>0</v>
      </c>
      <c r="U55" s="17">
        <f t="shared" si="12"/>
        <v>533141592.82049853</v>
      </c>
      <c r="V55" s="17">
        <f t="shared" si="13"/>
        <v>-5947620.9601430865</v>
      </c>
      <c r="W55" s="16">
        <f>-F55</f>
        <v>0</v>
      </c>
      <c r="X55" s="16">
        <f t="shared" si="14"/>
        <v>0</v>
      </c>
      <c r="Y55" s="16"/>
      <c r="Z55" s="16"/>
      <c r="AA55" s="2">
        <v>31</v>
      </c>
      <c r="AB55" s="20">
        <v>435.41727339760843</v>
      </c>
      <c r="AC55" s="19">
        <f t="shared" si="15"/>
        <v>4.7176666275132728E-3</v>
      </c>
      <c r="AD55" s="17">
        <f t="shared" si="16"/>
        <v>549975480.7012409</v>
      </c>
      <c r="AE55" s="17">
        <f t="shared" si="17"/>
        <v>4385581.7155655473</v>
      </c>
      <c r="AF55" s="17">
        <f t="shared" si="18"/>
        <v>2594600.9712548144</v>
      </c>
      <c r="AG55" s="17">
        <f t="shared" si="19"/>
        <v>20689.712501755988</v>
      </c>
      <c r="AH55" s="17">
        <f t="shared" si="20"/>
        <v>7000872.3993221177</v>
      </c>
      <c r="AI55" s="17">
        <f t="shared" si="21"/>
        <v>556976353.10056305</v>
      </c>
      <c r="AJ55" s="17">
        <f>+AB55*F55</f>
        <v>0</v>
      </c>
      <c r="AK55" s="17">
        <f t="shared" si="22"/>
        <v>556976353.10056305</v>
      </c>
      <c r="AL55" s="17">
        <f t="shared" si="23"/>
        <v>-7000872.3993221177</v>
      </c>
      <c r="AM55" s="16">
        <f>-F55</f>
        <v>0</v>
      </c>
      <c r="AN55" s="16">
        <f t="shared" si="24"/>
        <v>0</v>
      </c>
      <c r="AQ55" s="2">
        <v>31</v>
      </c>
      <c r="AR55" s="20">
        <v>428.43968149695843</v>
      </c>
      <c r="AS55" s="19">
        <f t="shared" si="25"/>
        <v>5.5603895309626061E-3</v>
      </c>
      <c r="AT55" s="17">
        <f t="shared" si="26"/>
        <v>540708557.71842694</v>
      </c>
      <c r="AU55" s="17">
        <f t="shared" si="27"/>
        <v>4311685.9703567531</v>
      </c>
      <c r="AV55" s="17">
        <f t="shared" si="28"/>
        <v>3006550.2036394314</v>
      </c>
      <c r="AW55" s="17">
        <f t="shared" si="29"/>
        <v>23974.653530370037</v>
      </c>
      <c r="AX55" s="17">
        <f t="shared" si="30"/>
        <v>7342210.8275265545</v>
      </c>
      <c r="AY55" s="17">
        <f t="shared" si="31"/>
        <v>548050768.54595351</v>
      </c>
      <c r="AZ55" s="17">
        <f>+AR55*F55</f>
        <v>0</v>
      </c>
      <c r="BA55" s="17">
        <f t="shared" si="32"/>
        <v>548050768.54595351</v>
      </c>
      <c r="BB55" s="17">
        <f t="shared" si="33"/>
        <v>-7342210.8275265545</v>
      </c>
      <c r="BC55" s="16">
        <f t="shared" si="34"/>
        <v>5947620.9601430865</v>
      </c>
      <c r="BD55" s="16">
        <f t="shared" si="35"/>
        <v>0</v>
      </c>
    </row>
    <row r="56" spans="2:56" x14ac:dyDescent="0.35">
      <c r="B56" s="2">
        <v>32</v>
      </c>
      <c r="C56" s="17">
        <f t="shared" si="0"/>
        <v>1279178.3586223302</v>
      </c>
      <c r="D56" s="18">
        <f t="shared" si="1"/>
        <v>10200.347865269081</v>
      </c>
      <c r="E56" s="17">
        <f t="shared" si="2"/>
        <v>1289378.7064875993</v>
      </c>
      <c r="F56" s="18">
        <v>0</v>
      </c>
      <c r="G56" s="17">
        <f t="shared" si="3"/>
        <v>1289378.7064875993</v>
      </c>
      <c r="H56" s="17">
        <f t="shared" si="4"/>
        <v>-10200.347865269081</v>
      </c>
      <c r="I56" s="16"/>
      <c r="J56" s="16"/>
      <c r="K56" s="2">
        <v>32</v>
      </c>
      <c r="L56" s="2">
        <v>418.14731868378038</v>
      </c>
      <c r="M56" s="19">
        <f t="shared" si="5"/>
        <v>3.2700655496122888E-3</v>
      </c>
      <c r="N56" s="17">
        <f t="shared" si="6"/>
        <v>533141592.82049853</v>
      </c>
      <c r="O56" s="17">
        <f t="shared" si="7"/>
        <v>4251345.9296400864</v>
      </c>
      <c r="P56" s="17">
        <f t="shared" si="8"/>
        <v>1743407.9557477345</v>
      </c>
      <c r="Q56" s="17">
        <f t="shared" si="9"/>
        <v>13902.179864000476</v>
      </c>
      <c r="R56" s="17">
        <f t="shared" si="10"/>
        <v>6008656.0652518217</v>
      </c>
      <c r="S56" s="17">
        <f t="shared" si="11"/>
        <v>539150248.88575029</v>
      </c>
      <c r="T56" s="17">
        <f>+F56*L56</f>
        <v>0</v>
      </c>
      <c r="U56" s="17">
        <f t="shared" si="12"/>
        <v>539150248.88575029</v>
      </c>
      <c r="V56" s="17">
        <f t="shared" si="13"/>
        <v>-6008656.0652518217</v>
      </c>
      <c r="W56" s="16">
        <f>-F56</f>
        <v>0</v>
      </c>
      <c r="X56" s="16">
        <f t="shared" si="14"/>
        <v>0</v>
      </c>
      <c r="Y56" s="16"/>
      <c r="Z56" s="16"/>
      <c r="AA56" s="2">
        <v>32</v>
      </c>
      <c r="AB56" s="20">
        <v>437.47142693735913</v>
      </c>
      <c r="AC56" s="19">
        <f t="shared" si="15"/>
        <v>4.7176666275132728E-3</v>
      </c>
      <c r="AD56" s="17">
        <f t="shared" si="16"/>
        <v>556976353.10056305</v>
      </c>
      <c r="AE56" s="17">
        <f t="shared" si="17"/>
        <v>4441407.6552025788</v>
      </c>
      <c r="AF56" s="17">
        <f t="shared" si="18"/>
        <v>2627628.7533365749</v>
      </c>
      <c r="AG56" s="17">
        <f t="shared" si="19"/>
        <v>20953.080674131183</v>
      </c>
      <c r="AH56" s="17">
        <f t="shared" si="20"/>
        <v>7089989.489213285</v>
      </c>
      <c r="AI56" s="17">
        <f t="shared" si="21"/>
        <v>564066342.58977628</v>
      </c>
      <c r="AJ56" s="17">
        <f>+AB56*F56</f>
        <v>0</v>
      </c>
      <c r="AK56" s="17">
        <f t="shared" si="22"/>
        <v>564066342.58977628</v>
      </c>
      <c r="AL56" s="17">
        <f t="shared" si="23"/>
        <v>-7089989.489213285</v>
      </c>
      <c r="AM56" s="16">
        <f>-F56</f>
        <v>0</v>
      </c>
      <c r="AN56" s="16">
        <f t="shared" si="24"/>
        <v>0</v>
      </c>
      <c r="AQ56" s="2">
        <v>32</v>
      </c>
      <c r="AR56" s="20">
        <v>430.81943088410662</v>
      </c>
      <c r="AS56" s="19">
        <f t="shared" si="25"/>
        <v>5.5544560644649188E-3</v>
      </c>
      <c r="AT56" s="17">
        <f t="shared" si="26"/>
        <v>548050768.54595351</v>
      </c>
      <c r="AU56" s="17">
        <f t="shared" si="27"/>
        <v>4370233.7905540671</v>
      </c>
      <c r="AV56" s="17">
        <f t="shared" si="28"/>
        <v>3044123.914984731</v>
      </c>
      <c r="AW56" s="17">
        <f t="shared" si="29"/>
        <v>24274.271581072549</v>
      </c>
      <c r="AX56" s="17">
        <f t="shared" si="30"/>
        <v>7438631.9771198705</v>
      </c>
      <c r="AY56" s="17">
        <f t="shared" si="31"/>
        <v>555489400.52307343</v>
      </c>
      <c r="AZ56" s="17">
        <f>+AR56*F56</f>
        <v>0</v>
      </c>
      <c r="BA56" s="17">
        <f t="shared" si="32"/>
        <v>555489400.52307343</v>
      </c>
      <c r="BB56" s="17">
        <f t="shared" si="33"/>
        <v>-7438631.9771198705</v>
      </c>
      <c r="BC56" s="16">
        <f t="shared" si="34"/>
        <v>6008656.0652518217</v>
      </c>
      <c r="BD56" s="16">
        <f t="shared" si="35"/>
        <v>0</v>
      </c>
    </row>
    <row r="57" spans="2:56" x14ac:dyDescent="0.35">
      <c r="B57" s="2">
        <v>33</v>
      </c>
      <c r="C57" s="17">
        <f t="shared" si="0"/>
        <v>1289378.7064875993</v>
      </c>
      <c r="D57" s="18">
        <f t="shared" si="1"/>
        <v>10281.686871570406</v>
      </c>
      <c r="E57" s="17">
        <f t="shared" si="2"/>
        <v>1299660.3933591696</v>
      </c>
      <c r="F57" s="18">
        <v>0</v>
      </c>
      <c r="G57" s="17">
        <f t="shared" si="3"/>
        <v>1299660.3933591696</v>
      </c>
      <c r="H57" s="17">
        <f t="shared" si="4"/>
        <v>-10281.686871570406</v>
      </c>
      <c r="I57" s="16"/>
      <c r="J57" s="16"/>
      <c r="K57" s="2">
        <v>33</v>
      </c>
      <c r="L57" s="2">
        <v>419.51031647091452</v>
      </c>
      <c r="M57" s="19">
        <f t="shared" si="5"/>
        <v>3.2596114484830796E-3</v>
      </c>
      <c r="N57" s="17">
        <f t="shared" si="6"/>
        <v>539150248.88575029</v>
      </c>
      <c r="O57" s="17">
        <f t="shared" si="7"/>
        <v>4299259.796893388</v>
      </c>
      <c r="P57" s="17">
        <f t="shared" si="8"/>
        <v>1757420.3237204934</v>
      </c>
      <c r="Q57" s="17">
        <f t="shared" si="9"/>
        <v>14013.916453956726</v>
      </c>
      <c r="R57" s="17">
        <f t="shared" si="10"/>
        <v>6070694.037067838</v>
      </c>
      <c r="S57" s="17">
        <f t="shared" si="11"/>
        <v>545220942.92281818</v>
      </c>
      <c r="T57" s="17">
        <f>+F57*L57</f>
        <v>0</v>
      </c>
      <c r="U57" s="17">
        <f t="shared" si="12"/>
        <v>545220942.92281818</v>
      </c>
      <c r="V57" s="17">
        <f t="shared" si="13"/>
        <v>-6070694.037067838</v>
      </c>
      <c r="W57" s="16">
        <f>-F57</f>
        <v>0</v>
      </c>
      <c r="X57" s="16">
        <f t="shared" si="14"/>
        <v>0</v>
      </c>
      <c r="Y57" s="16"/>
      <c r="Z57" s="16"/>
      <c r="AA57" s="2">
        <v>33</v>
      </c>
      <c r="AB57" s="20">
        <v>439.53527128871212</v>
      </c>
      <c r="AC57" s="19">
        <f t="shared" si="15"/>
        <v>4.7176666275132728E-3</v>
      </c>
      <c r="AD57" s="17">
        <f t="shared" si="16"/>
        <v>564066342.58977628</v>
      </c>
      <c r="AE57" s="17">
        <f t="shared" si="17"/>
        <v>4497944.2270290162</v>
      </c>
      <c r="AF57" s="17">
        <f t="shared" si="18"/>
        <v>2661076.9601392564</v>
      </c>
      <c r="AG57" s="17">
        <f t="shared" si="19"/>
        <v>21219.801372270773</v>
      </c>
      <c r="AH57" s="17">
        <f t="shared" si="20"/>
        <v>7180240.9885405432</v>
      </c>
      <c r="AI57" s="17">
        <f t="shared" si="21"/>
        <v>571246583.57831681</v>
      </c>
      <c r="AJ57" s="17">
        <f>+AB57*F57</f>
        <v>0</v>
      </c>
      <c r="AK57" s="17">
        <f t="shared" si="22"/>
        <v>571246583.57831681</v>
      </c>
      <c r="AL57" s="17">
        <f t="shared" si="23"/>
        <v>-7180240.9885405432</v>
      </c>
      <c r="AM57" s="16">
        <f>-F57</f>
        <v>0</v>
      </c>
      <c r="AN57" s="16">
        <f t="shared" si="24"/>
        <v>0</v>
      </c>
      <c r="AQ57" s="2">
        <v>33</v>
      </c>
      <c r="AR57" s="20">
        <v>432.29508749622829</v>
      </c>
      <c r="AS57" s="19">
        <f t="shared" si="25"/>
        <v>3.4252322581955763E-3</v>
      </c>
      <c r="AT57" s="17">
        <f t="shared" si="26"/>
        <v>555489400.52307343</v>
      </c>
      <c r="AU57" s="17">
        <f t="shared" si="27"/>
        <v>4429550.4865385555</v>
      </c>
      <c r="AV57" s="17">
        <f t="shared" si="28"/>
        <v>1902680.2137573538</v>
      </c>
      <c r="AW57" s="17">
        <f t="shared" si="29"/>
        <v>15172.23921579777</v>
      </c>
      <c r="AX57" s="17">
        <f t="shared" si="30"/>
        <v>6347402.9395117071</v>
      </c>
      <c r="AY57" s="17">
        <f t="shared" si="31"/>
        <v>561836803.46258509</v>
      </c>
      <c r="AZ57" s="17">
        <f>+AR57*F57</f>
        <v>0</v>
      </c>
      <c r="BA57" s="17">
        <f t="shared" si="32"/>
        <v>561836803.46258509</v>
      </c>
      <c r="BB57" s="17">
        <f t="shared" si="33"/>
        <v>-6347402.9395117071</v>
      </c>
      <c r="BC57" s="16">
        <f t="shared" si="34"/>
        <v>6070694.037067838</v>
      </c>
      <c r="BD57" s="16">
        <f t="shared" si="35"/>
        <v>0</v>
      </c>
    </row>
    <row r="58" spans="2:56" x14ac:dyDescent="0.35">
      <c r="B58" s="2">
        <v>34</v>
      </c>
      <c r="C58" s="17">
        <f t="shared" si="0"/>
        <v>1299660.3933591696</v>
      </c>
      <c r="D58" s="18">
        <f t="shared" si="1"/>
        <v>10363.674486530324</v>
      </c>
      <c r="E58" s="17">
        <f t="shared" si="2"/>
        <v>1310024.0678456998</v>
      </c>
      <c r="F58" s="18">
        <v>0</v>
      </c>
      <c r="G58" s="17">
        <f t="shared" si="3"/>
        <v>1310024.0678456998</v>
      </c>
      <c r="H58" s="17">
        <f t="shared" si="4"/>
        <v>-10363.674486530324</v>
      </c>
      <c r="I58" s="16"/>
      <c r="J58" s="16"/>
      <c r="K58" s="2">
        <v>34</v>
      </c>
      <c r="L58" s="2">
        <v>420.87333518055908</v>
      </c>
      <c r="M58" s="19">
        <f t="shared" si="5"/>
        <v>3.2490707764014637E-3</v>
      </c>
      <c r="N58" s="17">
        <f t="shared" si="6"/>
        <v>545220942.92281818</v>
      </c>
      <c r="O58" s="17">
        <f t="shared" si="7"/>
        <v>4347668.3636458758</v>
      </c>
      <c r="P58" s="17">
        <f t="shared" si="8"/>
        <v>1771461.432332579</v>
      </c>
      <c r="Q58" s="17">
        <f t="shared" si="9"/>
        <v>14125.882225806987</v>
      </c>
      <c r="R58" s="17">
        <f t="shared" si="10"/>
        <v>6133255.6782042617</v>
      </c>
      <c r="S58" s="17">
        <f t="shared" si="11"/>
        <v>551354198.60102248</v>
      </c>
      <c r="T58" s="17">
        <f>+F58*L58</f>
        <v>0</v>
      </c>
      <c r="U58" s="17">
        <f t="shared" si="12"/>
        <v>551354198.60102248</v>
      </c>
      <c r="V58" s="17">
        <f t="shared" si="13"/>
        <v>-6133255.6782042617</v>
      </c>
      <c r="W58" s="16">
        <f>-F58</f>
        <v>0</v>
      </c>
      <c r="X58" s="16">
        <f t="shared" si="14"/>
        <v>0</v>
      </c>
      <c r="Y58" s="16"/>
      <c r="Z58" s="16"/>
      <c r="AA58" s="2">
        <v>34</v>
      </c>
      <c r="AB58" s="20">
        <v>441.60885216968592</v>
      </c>
      <c r="AC58" s="19">
        <f t="shared" si="15"/>
        <v>4.7176666275132728E-3</v>
      </c>
      <c r="AD58" s="17">
        <f t="shared" si="16"/>
        <v>571246583.57831681</v>
      </c>
      <c r="AE58" s="17">
        <f t="shared" si="17"/>
        <v>4555200.4769850094</v>
      </c>
      <c r="AF58" s="17">
        <f t="shared" si="18"/>
        <v>2694950.9434283967</v>
      </c>
      <c r="AG58" s="17">
        <f t="shared" si="19"/>
        <v>21489.91727190472</v>
      </c>
      <c r="AH58" s="17">
        <f t="shared" si="20"/>
        <v>7271641.3376853112</v>
      </c>
      <c r="AI58" s="17">
        <f t="shared" si="21"/>
        <v>578518224.91600215</v>
      </c>
      <c r="AJ58" s="17">
        <f>+AB58*F58</f>
        <v>0</v>
      </c>
      <c r="AK58" s="17">
        <f t="shared" si="22"/>
        <v>578518224.91600215</v>
      </c>
      <c r="AL58" s="17">
        <f t="shared" si="23"/>
        <v>-7271641.3376853112</v>
      </c>
      <c r="AM58" s="16">
        <f>-F58</f>
        <v>0</v>
      </c>
      <c r="AN58" s="16">
        <f t="shared" si="24"/>
        <v>0</v>
      </c>
      <c r="AQ58" s="2">
        <v>34</v>
      </c>
      <c r="AR58" s="20">
        <v>433.62541242581062</v>
      </c>
      <c r="AS58" s="19">
        <f t="shared" si="25"/>
        <v>3.0773537985067101E-3</v>
      </c>
      <c r="AT58" s="17">
        <f t="shared" si="26"/>
        <v>561836803.46258509</v>
      </c>
      <c r="AU58" s="17">
        <f t="shared" si="27"/>
        <v>4480165.5689370586</v>
      </c>
      <c r="AV58" s="17">
        <f t="shared" si="28"/>
        <v>1728970.6212764541</v>
      </c>
      <c r="AW58" s="17">
        <f t="shared" si="29"/>
        <v>13787.054531507432</v>
      </c>
      <c r="AX58" s="17">
        <f t="shared" si="30"/>
        <v>6222923.2447450198</v>
      </c>
      <c r="AY58" s="17">
        <f t="shared" si="31"/>
        <v>568059726.70733011</v>
      </c>
      <c r="AZ58" s="17">
        <f>+AR58*F58</f>
        <v>0</v>
      </c>
      <c r="BA58" s="17">
        <f t="shared" si="32"/>
        <v>568059726.70733011</v>
      </c>
      <c r="BB58" s="17">
        <f t="shared" si="33"/>
        <v>-6222923.2447450198</v>
      </c>
      <c r="BC58" s="16">
        <f t="shared" si="34"/>
        <v>6133255.6782042617</v>
      </c>
      <c r="BD58" s="16">
        <f t="shared" si="35"/>
        <v>0</v>
      </c>
    </row>
    <row r="59" spans="2:56" x14ac:dyDescent="0.35">
      <c r="B59" s="2">
        <v>35</v>
      </c>
      <c r="C59" s="17">
        <f t="shared" si="0"/>
        <v>1310024.0678456998</v>
      </c>
      <c r="D59" s="18">
        <f t="shared" si="1"/>
        <v>10446.315882245362</v>
      </c>
      <c r="E59" s="17">
        <f t="shared" si="2"/>
        <v>1320470.3837279452</v>
      </c>
      <c r="F59" s="18">
        <v>0</v>
      </c>
      <c r="G59" s="17">
        <f t="shared" si="3"/>
        <v>1320470.3837279452</v>
      </c>
      <c r="H59" s="17">
        <f t="shared" si="4"/>
        <v>-10446.315882245362</v>
      </c>
      <c r="I59" s="16"/>
      <c r="J59" s="16"/>
      <c r="K59" s="2">
        <v>35</v>
      </c>
      <c r="L59" s="2">
        <v>422.23626274760738</v>
      </c>
      <c r="M59" s="19">
        <f t="shared" si="5"/>
        <v>3.2383319472202299E-3</v>
      </c>
      <c r="N59" s="17">
        <f t="shared" si="6"/>
        <v>551354198.60102248</v>
      </c>
      <c r="O59" s="17">
        <f t="shared" si="7"/>
        <v>4396575.8057102486</v>
      </c>
      <c r="P59" s="17">
        <f t="shared" si="8"/>
        <v>1785467.9155636984</v>
      </c>
      <c r="Q59" s="17">
        <f t="shared" si="9"/>
        <v>14237.571890007021</v>
      </c>
      <c r="R59" s="17">
        <f t="shared" si="10"/>
        <v>6196281.2931639533</v>
      </c>
      <c r="S59" s="17">
        <f t="shared" si="11"/>
        <v>557550479.89418638</v>
      </c>
      <c r="T59" s="17">
        <f>+F59*L59</f>
        <v>0</v>
      </c>
      <c r="U59" s="17">
        <f t="shared" si="12"/>
        <v>557550479.89418638</v>
      </c>
      <c r="V59" s="17">
        <f t="shared" si="13"/>
        <v>-6196281.2931639533</v>
      </c>
      <c r="W59" s="16">
        <f>-F59</f>
        <v>0</v>
      </c>
      <c r="X59" s="16">
        <f t="shared" si="14"/>
        <v>0</v>
      </c>
      <c r="Y59" s="16"/>
      <c r="Z59" s="16"/>
      <c r="AA59" s="2">
        <v>35</v>
      </c>
      <c r="AB59" s="20">
        <v>443.69221551398118</v>
      </c>
      <c r="AC59" s="19">
        <f t="shared" si="15"/>
        <v>4.7176666275130508E-3</v>
      </c>
      <c r="AD59" s="17">
        <f t="shared" si="16"/>
        <v>578518224.91600215</v>
      </c>
      <c r="AE59" s="17">
        <f t="shared" si="17"/>
        <v>4613185.5661603333</v>
      </c>
      <c r="AF59" s="17">
        <f t="shared" si="18"/>
        <v>2729256.1230943124</v>
      </c>
      <c r="AG59" s="17">
        <f t="shared" si="19"/>
        <v>21763.471591999503</v>
      </c>
      <c r="AH59" s="17">
        <f t="shared" si="20"/>
        <v>7364205.160846645</v>
      </c>
      <c r="AI59" s="17">
        <f t="shared" si="21"/>
        <v>585882430.07684875</v>
      </c>
      <c r="AJ59" s="17">
        <f>+AB59*F59</f>
        <v>0</v>
      </c>
      <c r="AK59" s="17">
        <f t="shared" si="22"/>
        <v>585882430.07684875</v>
      </c>
      <c r="AL59" s="17">
        <f t="shared" si="23"/>
        <v>-7364205.160846645</v>
      </c>
      <c r="AM59" s="16">
        <f>-F59</f>
        <v>0</v>
      </c>
      <c r="AN59" s="16">
        <f t="shared" si="24"/>
        <v>0</v>
      </c>
      <c r="AQ59" s="2">
        <v>35</v>
      </c>
      <c r="AR59" s="20">
        <v>434.93419097535582</v>
      </c>
      <c r="AS59" s="19">
        <f t="shared" si="25"/>
        <v>3.018223821854793E-3</v>
      </c>
      <c r="AT59" s="17">
        <f t="shared" si="26"/>
        <v>568059726.70733011</v>
      </c>
      <c r="AU59" s="17">
        <f t="shared" si="27"/>
        <v>4529788.0327689443</v>
      </c>
      <c r="AV59" s="17">
        <f t="shared" si="28"/>
        <v>1714531.3993843871</v>
      </c>
      <c r="AW59" s="17">
        <f t="shared" si="29"/>
        <v>13671.914148455988</v>
      </c>
      <c r="AX59" s="17">
        <f t="shared" si="30"/>
        <v>6257991.3463017875</v>
      </c>
      <c r="AY59" s="17">
        <f t="shared" si="31"/>
        <v>574317718.0536319</v>
      </c>
      <c r="AZ59" s="17">
        <f>+AR59*F59</f>
        <v>0</v>
      </c>
      <c r="BA59" s="17">
        <f t="shared" si="32"/>
        <v>574317718.0536319</v>
      </c>
      <c r="BB59" s="17">
        <f t="shared" si="33"/>
        <v>-6257991.3463017875</v>
      </c>
      <c r="BC59" s="16">
        <f t="shared" si="34"/>
        <v>6196281.2931639533</v>
      </c>
      <c r="BD59" s="16">
        <f t="shared" si="35"/>
        <v>0</v>
      </c>
    </row>
    <row r="60" spans="2:56" x14ac:dyDescent="0.35">
      <c r="B60" s="2">
        <v>36</v>
      </c>
      <c r="C60" s="17">
        <f t="shared" si="0"/>
        <v>1320470.3837279452</v>
      </c>
      <c r="D60" s="18">
        <f t="shared" si="1"/>
        <v>10529.616272055075</v>
      </c>
      <c r="E60" s="17">
        <f t="shared" si="2"/>
        <v>1331000.0000000002</v>
      </c>
      <c r="F60" s="18">
        <v>0</v>
      </c>
      <c r="G60" s="17">
        <f t="shared" si="3"/>
        <v>1331000.0000000002</v>
      </c>
      <c r="H60" s="17">
        <f t="shared" si="4"/>
        <v>-10529.616272055075</v>
      </c>
      <c r="I60" s="16"/>
      <c r="J60" s="16"/>
      <c r="K60" s="2">
        <v>36</v>
      </c>
      <c r="L60" s="2">
        <v>423.59932016168932</v>
      </c>
      <c r="M60" s="19">
        <f t="shared" si="5"/>
        <v>3.228186525743082E-3</v>
      </c>
      <c r="N60" s="17">
        <f t="shared" si="6"/>
        <v>557550479.89418638</v>
      </c>
      <c r="O60" s="17">
        <f t="shared" si="7"/>
        <v>4445985.822878927</v>
      </c>
      <c r="P60" s="17">
        <f t="shared" si="8"/>
        <v>1799876.9466160017</v>
      </c>
      <c r="Q60" s="17">
        <f t="shared" si="9"/>
        <v>14352.47152706252</v>
      </c>
      <c r="R60" s="17">
        <f t="shared" si="10"/>
        <v>6260215.2410219908</v>
      </c>
      <c r="S60" s="17">
        <f t="shared" si="11"/>
        <v>563810695.13520837</v>
      </c>
      <c r="T60" s="17">
        <f>+F60*L60</f>
        <v>0</v>
      </c>
      <c r="U60" s="17">
        <f t="shared" si="12"/>
        <v>563810695.13520837</v>
      </c>
      <c r="V60" s="17">
        <f t="shared" si="13"/>
        <v>-6260215.2410219908</v>
      </c>
      <c r="W60" s="16">
        <f>-F60</f>
        <v>0</v>
      </c>
      <c r="X60" s="16">
        <f t="shared" si="14"/>
        <v>0</v>
      </c>
      <c r="Y60" s="16"/>
      <c r="Z60" s="16"/>
      <c r="AA60" s="2">
        <v>36</v>
      </c>
      <c r="AB60" s="20">
        <v>445.78540747199901</v>
      </c>
      <c r="AC60" s="19">
        <f t="shared" si="15"/>
        <v>4.7176666275134949E-3</v>
      </c>
      <c r="AD60" s="17">
        <f t="shared" si="16"/>
        <v>585882430.07684875</v>
      </c>
      <c r="AE60" s="17">
        <f t="shared" si="17"/>
        <v>4671908.7722601825</v>
      </c>
      <c r="AF60" s="17">
        <f t="shared" si="18"/>
        <v>2763997.9880200578</v>
      </c>
      <c r="AG60" s="17">
        <f t="shared" si="19"/>
        <v>22040.508101679407</v>
      </c>
      <c r="AH60" s="17">
        <f t="shared" si="20"/>
        <v>7457947.2683819197</v>
      </c>
      <c r="AI60" s="17">
        <f t="shared" si="21"/>
        <v>593340377.3452307</v>
      </c>
      <c r="AJ60" s="17">
        <f>+AB60*F60</f>
        <v>0</v>
      </c>
      <c r="AK60" s="17">
        <f t="shared" si="22"/>
        <v>593340377.3452307</v>
      </c>
      <c r="AL60" s="17">
        <f t="shared" si="23"/>
        <v>-7457947.2683819197</v>
      </c>
      <c r="AM60" s="16">
        <f>-F60</f>
        <v>0</v>
      </c>
      <c r="AN60" s="16">
        <f t="shared" si="24"/>
        <v>0</v>
      </c>
      <c r="AQ60" s="2">
        <v>36</v>
      </c>
      <c r="AR60" s="20">
        <v>437.05157947710148</v>
      </c>
      <c r="AS60" s="19">
        <f t="shared" si="25"/>
        <v>4.8682962748856085E-3</v>
      </c>
      <c r="AT60" s="17">
        <f t="shared" si="26"/>
        <v>574317718.0536319</v>
      </c>
      <c r="AU60" s="17">
        <f t="shared" si="27"/>
        <v>4579690.1345672198</v>
      </c>
      <c r="AV60" s="17">
        <f t="shared" si="28"/>
        <v>2795948.8074012995</v>
      </c>
      <c r="AW60" s="17">
        <f t="shared" si="29"/>
        <v>22295.288422243968</v>
      </c>
      <c r="AX60" s="17">
        <f t="shared" si="30"/>
        <v>7397934.2303907629</v>
      </c>
      <c r="AY60" s="17">
        <f t="shared" si="31"/>
        <v>581715652.28402269</v>
      </c>
      <c r="AZ60" s="17">
        <f>+AR60*F60</f>
        <v>0</v>
      </c>
      <c r="BA60" s="17">
        <f t="shared" si="32"/>
        <v>581715652.28402269</v>
      </c>
      <c r="BB60" s="17">
        <f t="shared" si="33"/>
        <v>-7397934.2303907629</v>
      </c>
      <c r="BC60" s="16">
        <f t="shared" si="34"/>
        <v>6260215.2410219908</v>
      </c>
      <c r="BD60" s="16">
        <f t="shared" si="35"/>
        <v>0</v>
      </c>
    </row>
    <row r="61" spans="2:56" s="26" customFormat="1" x14ac:dyDescent="0.35">
      <c r="B61" s="22">
        <v>37</v>
      </c>
      <c r="C61" s="23">
        <f t="shared" ref="C61" si="36">+G60</f>
        <v>1331000.0000000002</v>
      </c>
      <c r="D61" s="24">
        <f t="shared" si="1"/>
        <v>10613.580910870913</v>
      </c>
      <c r="E61" s="23">
        <f t="shared" ref="E61" si="37">+C61+D61</f>
        <v>1341613.580910871</v>
      </c>
      <c r="F61" s="24">
        <f>+$F$15</f>
        <v>20379.532695807367</v>
      </c>
      <c r="G61" s="23">
        <f t="shared" ref="G61" si="38">+E61-F61</f>
        <v>1321234.0482150638</v>
      </c>
      <c r="H61" s="23">
        <f t="shared" ref="H61" si="39">+F61-D61</f>
        <v>9765.9517849364547</v>
      </c>
      <c r="I61" s="25"/>
      <c r="J61" s="25"/>
      <c r="K61" s="22">
        <v>37</v>
      </c>
      <c r="L61" s="2">
        <v>424.96223406559233</v>
      </c>
      <c r="M61" s="19">
        <f t="shared" si="5"/>
        <v>3.2174600832286515E-3</v>
      </c>
      <c r="N61" s="23">
        <f t="shared" si="6"/>
        <v>563810695.13520837</v>
      </c>
      <c r="O61" s="23">
        <f t="shared" si="7"/>
        <v>4495905.658326</v>
      </c>
      <c r="P61" s="17">
        <f t="shared" si="8"/>
        <v>1814038.4060949313</v>
      </c>
      <c r="Q61" s="17">
        <f t="shared" si="9"/>
        <v>14465.396993625736</v>
      </c>
      <c r="R61" s="23">
        <f t="shared" si="10"/>
        <v>6324409.461414557</v>
      </c>
      <c r="S61" s="23">
        <f t="shared" si="11"/>
        <v>570135104.59662294</v>
      </c>
      <c r="T61" s="23">
        <f>+F61*L61</f>
        <v>8660531.7436230816</v>
      </c>
      <c r="U61" s="23">
        <f t="shared" si="12"/>
        <v>561474572.85299981</v>
      </c>
      <c r="V61" s="23">
        <f t="shared" si="13"/>
        <v>2336122.2822085246</v>
      </c>
      <c r="W61" s="25">
        <f>-F61</f>
        <v>-20379.532695807367</v>
      </c>
      <c r="X61" s="25">
        <f t="shared" si="14"/>
        <v>-8660531.7436230816</v>
      </c>
      <c r="Y61" s="25"/>
      <c r="Z61" s="25"/>
      <c r="AA61" s="22">
        <v>37</v>
      </c>
      <c r="AB61" s="20">
        <v>447.88847441186198</v>
      </c>
      <c r="AC61" s="19">
        <f t="shared" si="15"/>
        <v>4.7176666275130508E-3</v>
      </c>
      <c r="AD61" s="23">
        <f t="shared" si="16"/>
        <v>593340377.3452307</v>
      </c>
      <c r="AE61" s="23">
        <f t="shared" si="17"/>
        <v>4731379.4910896197</v>
      </c>
      <c r="AF61" s="17">
        <f t="shared" si="18"/>
        <v>2799182.0969575956</v>
      </c>
      <c r="AG61" s="17">
        <f t="shared" si="19"/>
        <v>22321.071127213181</v>
      </c>
      <c r="AH61" s="23">
        <f t="shared" si="20"/>
        <v>7552882.6591744293</v>
      </c>
      <c r="AI61" s="23">
        <f t="shared" si="21"/>
        <v>600893260.00440514</v>
      </c>
      <c r="AJ61" s="17">
        <f>+AB61*F61</f>
        <v>9127757.8083518222</v>
      </c>
      <c r="AK61" s="17">
        <f t="shared" si="22"/>
        <v>591765502.19605327</v>
      </c>
      <c r="AL61" s="23">
        <f t="shared" si="23"/>
        <v>1574875.1491773929</v>
      </c>
      <c r="AM61" s="16">
        <f>-F61</f>
        <v>-20379.532695807367</v>
      </c>
      <c r="AN61" s="25">
        <f t="shared" si="24"/>
        <v>-9127757.8083518222</v>
      </c>
      <c r="AQ61" s="22">
        <v>37</v>
      </c>
      <c r="AR61" s="20">
        <v>438.53940409697401</v>
      </c>
      <c r="AS61" s="19">
        <f t="shared" si="25"/>
        <v>3.4042311931525848E-3</v>
      </c>
      <c r="AT61" s="23">
        <f t="shared" si="26"/>
        <v>581715652.28402269</v>
      </c>
      <c r="AU61" s="23">
        <f t="shared" si="27"/>
        <v>4638682.30100415</v>
      </c>
      <c r="AV61" s="17">
        <f t="shared" si="28"/>
        <v>1980294.5690503728</v>
      </c>
      <c r="AW61" s="17">
        <f t="shared" si="29"/>
        <v>15791.146984203135</v>
      </c>
      <c r="AX61" s="23">
        <f t="shared" si="30"/>
        <v>6634768.0170387253</v>
      </c>
      <c r="AY61" s="23">
        <f t="shared" si="31"/>
        <v>588350420.30106139</v>
      </c>
      <c r="AZ61" s="17">
        <f>+AR61*F61</f>
        <v>8937228.124194162</v>
      </c>
      <c r="BA61" s="17">
        <f t="shared" si="32"/>
        <v>579413192.17686725</v>
      </c>
      <c r="BB61" s="23">
        <f t="shared" si="33"/>
        <v>2302460.1071554366</v>
      </c>
      <c r="BC61" s="16">
        <f t="shared" si="34"/>
        <v>-2336122.2822085246</v>
      </c>
      <c r="BD61" s="25">
        <f t="shared" si="35"/>
        <v>-8937228.124194162</v>
      </c>
    </row>
    <row r="62" spans="2:56" x14ac:dyDescent="0.35">
      <c r="B62" s="2">
        <v>38</v>
      </c>
      <c r="C62" s="17">
        <f t="shared" ref="C62:C125" si="40">+G61</f>
        <v>1321234.0482150638</v>
      </c>
      <c r="D62" s="18">
        <f t="shared" si="1"/>
        <v>10535.705839915925</v>
      </c>
      <c r="E62" s="17">
        <f t="shared" ref="E62:E125" si="41">+C62+D62</f>
        <v>1331769.7540549797</v>
      </c>
      <c r="F62" s="18">
        <f t="shared" ref="F62:F125" si="42">+$F$15</f>
        <v>20379.532695807367</v>
      </c>
      <c r="G62" s="17">
        <f t="shared" ref="G62:G125" si="43">+E62-F62</f>
        <v>1311390.2213591724</v>
      </c>
      <c r="H62" s="17">
        <f t="shared" ref="H62:H125" si="44">+F62-D62</f>
        <v>9843.8268558914424</v>
      </c>
      <c r="I62" s="16"/>
      <c r="J62" s="16"/>
      <c r="K62" s="2">
        <v>38</v>
      </c>
      <c r="L62" s="2">
        <v>426.32528673402243</v>
      </c>
      <c r="M62" s="19">
        <f t="shared" si="5"/>
        <v>3.2074677681115382E-3</v>
      </c>
      <c r="N62" s="17">
        <f t="shared" si="6"/>
        <v>561474572.85299981</v>
      </c>
      <c r="O62" s="17">
        <f t="shared" si="7"/>
        <v>4477277.0911885779</v>
      </c>
      <c r="P62" s="17">
        <f t="shared" si="8"/>
        <v>1800911.5950401905</v>
      </c>
      <c r="Q62" s="17">
        <f t="shared" si="9"/>
        <v>14360.721958891549</v>
      </c>
      <c r="R62" s="17">
        <f t="shared" si="10"/>
        <v>6292549.4081876595</v>
      </c>
      <c r="S62" s="17">
        <f t="shared" si="11"/>
        <v>567767122.26118743</v>
      </c>
      <c r="T62" s="17">
        <f>+F62*L62</f>
        <v>8688310.1200454608</v>
      </c>
      <c r="U62" s="17">
        <f t="shared" si="12"/>
        <v>559078812.14114201</v>
      </c>
      <c r="V62" s="17">
        <f t="shared" si="13"/>
        <v>2395760.7118578013</v>
      </c>
      <c r="W62" s="16">
        <f>-F62</f>
        <v>-20379.532695807367</v>
      </c>
      <c r="X62" s="16">
        <f t="shared" si="14"/>
        <v>-8688310.1200454608</v>
      </c>
      <c r="Y62" s="16"/>
      <c r="Z62" s="16"/>
      <c r="AA62" s="2">
        <v>38</v>
      </c>
      <c r="AB62" s="20">
        <v>450.00146292044269</v>
      </c>
      <c r="AC62" s="19">
        <f t="shared" si="15"/>
        <v>4.7176666275132728E-3</v>
      </c>
      <c r="AD62" s="17">
        <f t="shared" si="16"/>
        <v>591765502.19605327</v>
      </c>
      <c r="AE62" s="17">
        <f t="shared" si="17"/>
        <v>4718821.2154920874</v>
      </c>
      <c r="AF62" s="17">
        <f t="shared" si="18"/>
        <v>2791752.3610239527</v>
      </c>
      <c r="AG62" s="17">
        <f t="shared" si="19"/>
        <v>22261.82536952864</v>
      </c>
      <c r="AH62" s="17">
        <f t="shared" si="20"/>
        <v>7532835.4018855691</v>
      </c>
      <c r="AI62" s="17">
        <f t="shared" si="21"/>
        <v>599298337.59793878</v>
      </c>
      <c r="AJ62" s="17">
        <f>+AB62*F62</f>
        <v>9170819.5267483089</v>
      </c>
      <c r="AK62" s="17">
        <f t="shared" si="22"/>
        <v>590127518.07119048</v>
      </c>
      <c r="AL62" s="17">
        <f t="shared" si="23"/>
        <v>1637984.1248627398</v>
      </c>
      <c r="AM62" s="16">
        <f>-F62</f>
        <v>-20379.532695807367</v>
      </c>
      <c r="AN62" s="16">
        <f t="shared" si="24"/>
        <v>-9170819.5267483089</v>
      </c>
      <c r="AQ62" s="2">
        <v>38</v>
      </c>
      <c r="AR62" s="20">
        <v>439.34307230018271</v>
      </c>
      <c r="AS62" s="19">
        <f t="shared" si="25"/>
        <v>1.8326020323387038E-3</v>
      </c>
      <c r="AT62" s="17">
        <f t="shared" si="26"/>
        <v>579413192.17686725</v>
      </c>
      <c r="AU62" s="17">
        <f t="shared" si="27"/>
        <v>4620322.160777743</v>
      </c>
      <c r="AV62" s="17">
        <f t="shared" si="28"/>
        <v>1061833.7935471828</v>
      </c>
      <c r="AW62" s="17">
        <f t="shared" si="29"/>
        <v>8467.2117819008436</v>
      </c>
      <c r="AX62" s="17">
        <f t="shared" si="30"/>
        <v>5690623.1661068276</v>
      </c>
      <c r="AY62" s="17">
        <f t="shared" si="31"/>
        <v>585103815.34297407</v>
      </c>
      <c r="AZ62" s="17">
        <f>+AR62*F62</f>
        <v>8953606.5066180341</v>
      </c>
      <c r="BA62" s="17">
        <f t="shared" si="32"/>
        <v>576150208.83635604</v>
      </c>
      <c r="BB62" s="17">
        <f t="shared" si="33"/>
        <v>3262983.3405112065</v>
      </c>
      <c r="BC62" s="16">
        <f t="shared" si="34"/>
        <v>-2395760.7118578013</v>
      </c>
      <c r="BD62" s="16">
        <f t="shared" si="35"/>
        <v>-8953606.5066180341</v>
      </c>
    </row>
    <row r="63" spans="2:56" x14ac:dyDescent="0.35">
      <c r="B63" s="2">
        <v>39</v>
      </c>
      <c r="C63" s="17">
        <f t="shared" si="40"/>
        <v>1311390.2213591724</v>
      </c>
      <c r="D63" s="18">
        <f t="shared" si="1"/>
        <v>10457.209782209233</v>
      </c>
      <c r="E63" s="17">
        <f t="shared" si="41"/>
        <v>1321847.4311413816</v>
      </c>
      <c r="F63" s="18">
        <f t="shared" si="42"/>
        <v>20379.532695807367</v>
      </c>
      <c r="G63" s="17">
        <f t="shared" si="43"/>
        <v>1301467.8984455743</v>
      </c>
      <c r="H63" s="17">
        <f t="shared" si="44"/>
        <v>9922.3229135981346</v>
      </c>
      <c r="I63" s="16"/>
      <c r="J63" s="16"/>
      <c r="K63" s="2">
        <v>39</v>
      </c>
      <c r="L63" s="2">
        <v>427.68821735699453</v>
      </c>
      <c r="M63" s="19">
        <f t="shared" si="5"/>
        <v>3.1969265379803158E-3</v>
      </c>
      <c r="N63" s="17">
        <f t="shared" si="6"/>
        <v>559078812.14114201</v>
      </c>
      <c r="O63" s="17">
        <f t="shared" si="7"/>
        <v>4458172.9588381732</v>
      </c>
      <c r="P63" s="17">
        <f t="shared" si="8"/>
        <v>1787333.8913565285</v>
      </c>
      <c r="Q63" s="17">
        <f t="shared" si="9"/>
        <v>14252.451443015982</v>
      </c>
      <c r="R63" s="17">
        <f t="shared" si="10"/>
        <v>6259759.3016377175</v>
      </c>
      <c r="S63" s="17">
        <f t="shared" si="11"/>
        <v>565338571.44277978</v>
      </c>
      <c r="T63" s="17">
        <f>+F63*L63</f>
        <v>8716086.0092384387</v>
      </c>
      <c r="U63" s="17">
        <f t="shared" si="12"/>
        <v>556622485.4335413</v>
      </c>
      <c r="V63" s="17">
        <f t="shared" si="13"/>
        <v>2456326.7076007212</v>
      </c>
      <c r="W63" s="16">
        <f>-F63</f>
        <v>-20379.532695807367</v>
      </c>
      <c r="X63" s="16">
        <f t="shared" si="14"/>
        <v>-8716086.0092384387</v>
      </c>
      <c r="Y63" s="16"/>
      <c r="Z63" s="16"/>
      <c r="AA63" s="2">
        <v>39</v>
      </c>
      <c r="AB63" s="20">
        <v>452.12441980439468</v>
      </c>
      <c r="AC63" s="19">
        <f t="shared" si="15"/>
        <v>4.7176666275134949E-3</v>
      </c>
      <c r="AD63" s="17">
        <f t="shared" si="16"/>
        <v>590127518.07119048</v>
      </c>
      <c r="AE63" s="17">
        <f t="shared" si="17"/>
        <v>4705759.7000601171</v>
      </c>
      <c r="AF63" s="17">
        <f t="shared" si="18"/>
        <v>2784024.897981822</v>
      </c>
      <c r="AG63" s="17">
        <f t="shared" si="19"/>
        <v>22200.205494071528</v>
      </c>
      <c r="AH63" s="17">
        <f t="shared" si="20"/>
        <v>7511984.8035360109</v>
      </c>
      <c r="AI63" s="17">
        <f t="shared" si="21"/>
        <v>597639502.87472653</v>
      </c>
      <c r="AJ63" s="17">
        <f>+AB63*F63</f>
        <v>9214084.3959765974</v>
      </c>
      <c r="AK63" s="17">
        <f t="shared" si="22"/>
        <v>588425418.47874999</v>
      </c>
      <c r="AL63" s="17">
        <f t="shared" si="23"/>
        <v>1702099.5924405865</v>
      </c>
      <c r="AM63" s="16">
        <f>-F63</f>
        <v>-20379.532695807367</v>
      </c>
      <c r="AN63" s="16">
        <f t="shared" si="24"/>
        <v>-9214084.3959765974</v>
      </c>
      <c r="AQ63" s="2">
        <v>39</v>
      </c>
      <c r="AR63" s="20">
        <v>439.95011550986987</v>
      </c>
      <c r="AS63" s="19">
        <f t="shared" si="25"/>
        <v>1.3817065704688769E-3</v>
      </c>
      <c r="AT63" s="17">
        <f t="shared" si="26"/>
        <v>576150208.83635604</v>
      </c>
      <c r="AU63" s="17">
        <f t="shared" si="27"/>
        <v>4594302.6734033339</v>
      </c>
      <c r="AV63" s="17">
        <f t="shared" si="28"/>
        <v>796070.52912620874</v>
      </c>
      <c r="AW63" s="17">
        <f t="shared" si="29"/>
        <v>6347.978190564113</v>
      </c>
      <c r="AX63" s="17">
        <f t="shared" si="30"/>
        <v>5396721.1807201076</v>
      </c>
      <c r="AY63" s="17">
        <f t="shared" si="31"/>
        <v>581546930.01707613</v>
      </c>
      <c r="AZ63" s="17">
        <f>+AR63*F63</f>
        <v>8965977.7635576203</v>
      </c>
      <c r="BA63" s="17">
        <f t="shared" si="32"/>
        <v>572580952.25351846</v>
      </c>
      <c r="BB63" s="17">
        <f t="shared" si="33"/>
        <v>3569256.5828375127</v>
      </c>
      <c r="BC63" s="16">
        <f t="shared" si="34"/>
        <v>-2456326.7076007212</v>
      </c>
      <c r="BD63" s="16">
        <f t="shared" si="35"/>
        <v>-8965977.7635576203</v>
      </c>
    </row>
    <row r="64" spans="2:56" x14ac:dyDescent="0.35">
      <c r="B64" s="2">
        <v>40</v>
      </c>
      <c r="C64" s="17">
        <f t="shared" si="40"/>
        <v>1301467.8984455743</v>
      </c>
      <c r="D64" s="18">
        <f t="shared" si="1"/>
        <v>10378.087785915273</v>
      </c>
      <c r="E64" s="17">
        <f t="shared" si="41"/>
        <v>1311845.9862314896</v>
      </c>
      <c r="F64" s="18">
        <f t="shared" si="42"/>
        <v>20379.532695807367</v>
      </c>
      <c r="G64" s="17">
        <f t="shared" si="43"/>
        <v>1291466.4535356823</v>
      </c>
      <c r="H64" s="17">
        <f t="shared" si="44"/>
        <v>10001.444909892094</v>
      </c>
      <c r="I64" s="16"/>
      <c r="J64" s="16"/>
      <c r="K64" s="2">
        <v>40</v>
      </c>
      <c r="L64" s="2">
        <v>429.0512467763694</v>
      </c>
      <c r="M64" s="19">
        <f t="shared" si="5"/>
        <v>3.1869697692352705E-3</v>
      </c>
      <c r="N64" s="17">
        <f t="shared" si="6"/>
        <v>556622485.4335413</v>
      </c>
      <c r="O64" s="17">
        <f t="shared" si="7"/>
        <v>4438585.8647324983</v>
      </c>
      <c r="P64" s="17">
        <f t="shared" si="8"/>
        <v>1773939.0339532958</v>
      </c>
      <c r="Q64" s="17">
        <f t="shared" si="9"/>
        <v>14145.638969057463</v>
      </c>
      <c r="R64" s="17">
        <f t="shared" si="10"/>
        <v>6226670.5376548516</v>
      </c>
      <c r="S64" s="17">
        <f t="shared" si="11"/>
        <v>562849155.97119617</v>
      </c>
      <c r="T64" s="17">
        <f>+F64*L64</f>
        <v>8743863.9118559361</v>
      </c>
      <c r="U64" s="17">
        <f t="shared" si="12"/>
        <v>554105292.05934024</v>
      </c>
      <c r="V64" s="17">
        <f t="shared" si="13"/>
        <v>2517193.3742010845</v>
      </c>
      <c r="W64" s="16">
        <f>-F64</f>
        <v>-20379.532695807367</v>
      </c>
      <c r="X64" s="16">
        <f t="shared" si="14"/>
        <v>-8743863.9118559361</v>
      </c>
      <c r="Y64" s="16"/>
      <c r="Z64" s="16"/>
      <c r="AA64" s="2">
        <v>40</v>
      </c>
      <c r="AB64" s="20">
        <v>454.25739209118967</v>
      </c>
      <c r="AC64" s="19">
        <f t="shared" si="15"/>
        <v>4.7176666275132728E-3</v>
      </c>
      <c r="AD64" s="17">
        <f t="shared" si="16"/>
        <v>588425418.47874999</v>
      </c>
      <c r="AE64" s="17">
        <f t="shared" si="17"/>
        <v>4692186.9188860161</v>
      </c>
      <c r="AF64" s="17">
        <f t="shared" si="18"/>
        <v>2775994.9595377306</v>
      </c>
      <c r="AG64" s="17">
        <f t="shared" si="19"/>
        <v>22136.173637282885</v>
      </c>
      <c r="AH64" s="17">
        <f t="shared" si="20"/>
        <v>7490318.0520610297</v>
      </c>
      <c r="AI64" s="17">
        <f t="shared" si="21"/>
        <v>595915736.53081107</v>
      </c>
      <c r="AJ64" s="17">
        <f>+AB64*F64</f>
        <v>9257553.3744345866</v>
      </c>
      <c r="AK64" s="17">
        <f t="shared" si="22"/>
        <v>586658183.15637648</v>
      </c>
      <c r="AL64" s="17">
        <f t="shared" si="23"/>
        <v>1767235.3223735569</v>
      </c>
      <c r="AM64" s="16">
        <f>-F64</f>
        <v>-20379.532695807367</v>
      </c>
      <c r="AN64" s="16">
        <f t="shared" si="24"/>
        <v>-9257553.3744345866</v>
      </c>
      <c r="AQ64" s="2">
        <v>40</v>
      </c>
      <c r="AR64" s="20">
        <v>441.36259562948419</v>
      </c>
      <c r="AS64" s="19">
        <f t="shared" si="25"/>
        <v>3.2105460819742415E-3</v>
      </c>
      <c r="AT64" s="17">
        <f t="shared" si="26"/>
        <v>572580952.25351846</v>
      </c>
      <c r="AU64" s="17">
        <f t="shared" si="27"/>
        <v>4565840.9201849978</v>
      </c>
      <c r="AV64" s="17">
        <f t="shared" si="28"/>
        <v>1838297.532870614</v>
      </c>
      <c r="AW64" s="17">
        <f t="shared" si="29"/>
        <v>14658.84267721761</v>
      </c>
      <c r="AX64" s="17">
        <f t="shared" si="30"/>
        <v>6418797.2957328297</v>
      </c>
      <c r="AY64" s="17">
        <f t="shared" si="31"/>
        <v>578999749.54925132</v>
      </c>
      <c r="AZ64" s="17">
        <f>+AR64*F64</f>
        <v>8994763.4483374786</v>
      </c>
      <c r="BA64" s="17">
        <f t="shared" si="32"/>
        <v>570004986.10091388</v>
      </c>
      <c r="BB64" s="17">
        <f t="shared" si="33"/>
        <v>2575966.1526046488</v>
      </c>
      <c r="BC64" s="16">
        <f t="shared" si="34"/>
        <v>-2517193.3742010845</v>
      </c>
      <c r="BD64" s="16">
        <f t="shared" si="35"/>
        <v>-8994763.4483374786</v>
      </c>
    </row>
    <row r="65" spans="2:56" x14ac:dyDescent="0.35">
      <c r="B65" s="2">
        <v>41</v>
      </c>
      <c r="C65" s="17">
        <f t="shared" si="40"/>
        <v>1291466.4535356823</v>
      </c>
      <c r="D65" s="18">
        <f t="shared" si="1"/>
        <v>10298.334859711849</v>
      </c>
      <c r="E65" s="17">
        <f t="shared" si="41"/>
        <v>1301764.7883953941</v>
      </c>
      <c r="F65" s="18">
        <f t="shared" si="42"/>
        <v>20379.532695807367</v>
      </c>
      <c r="G65" s="17">
        <f t="shared" si="43"/>
        <v>1281385.2556995868</v>
      </c>
      <c r="H65" s="17">
        <f t="shared" si="44"/>
        <v>10081.197836095518</v>
      </c>
      <c r="I65" s="16"/>
      <c r="J65" s="16"/>
      <c r="K65" s="2">
        <v>41</v>
      </c>
      <c r="L65" s="2">
        <v>430.41420279543439</v>
      </c>
      <c r="M65" s="19">
        <f t="shared" si="5"/>
        <v>3.1766741835745904E-3</v>
      </c>
      <c r="N65" s="17">
        <f t="shared" si="6"/>
        <v>554105292.05934024</v>
      </c>
      <c r="O65" s="17">
        <f t="shared" si="7"/>
        <v>4418513.411279913</v>
      </c>
      <c r="P65" s="17">
        <f t="shared" si="8"/>
        <v>1760211.9762669646</v>
      </c>
      <c r="Q65" s="17">
        <f t="shared" si="9"/>
        <v>14036.177483390997</v>
      </c>
      <c r="R65" s="17">
        <f t="shared" si="10"/>
        <v>6192761.5650302684</v>
      </c>
      <c r="S65" s="17">
        <f t="shared" si="11"/>
        <v>560298053.62437046</v>
      </c>
      <c r="T65" s="17">
        <f>+F65*L65</f>
        <v>8771640.3186094183</v>
      </c>
      <c r="U65" s="17">
        <f t="shared" si="12"/>
        <v>551526413.30576098</v>
      </c>
      <c r="V65" s="17">
        <f t="shared" si="13"/>
        <v>2578878.75357915</v>
      </c>
      <c r="W65" s="16">
        <f>-F65</f>
        <v>-20379.532695807367</v>
      </c>
      <c r="X65" s="16">
        <f t="shared" si="14"/>
        <v>-8771640.3186094183</v>
      </c>
      <c r="Y65" s="16"/>
      <c r="Z65" s="16"/>
      <c r="AA65" s="2">
        <v>41</v>
      </c>
      <c r="AB65" s="20">
        <v>456.40042703015939</v>
      </c>
      <c r="AC65" s="19">
        <f t="shared" si="15"/>
        <v>4.7176666275130508E-3</v>
      </c>
      <c r="AD65" s="17">
        <f t="shared" si="16"/>
        <v>586658183.15637648</v>
      </c>
      <c r="AE65" s="17">
        <f t="shared" si="17"/>
        <v>4678094.7362544909</v>
      </c>
      <c r="AF65" s="17">
        <f t="shared" si="18"/>
        <v>2767657.7324342765</v>
      </c>
      <c r="AG65" s="17">
        <f t="shared" si="19"/>
        <v>22069.691417572278</v>
      </c>
      <c r="AH65" s="17">
        <f t="shared" si="20"/>
        <v>7467822.1601063395</v>
      </c>
      <c r="AI65" s="17">
        <f t="shared" si="21"/>
        <v>594126005.31648278</v>
      </c>
      <c r="AJ65" s="17">
        <f>+AB65*F65</f>
        <v>9301227.4250415787</v>
      </c>
      <c r="AK65" s="17">
        <f t="shared" si="22"/>
        <v>584824777.89144123</v>
      </c>
      <c r="AL65" s="17">
        <f t="shared" si="23"/>
        <v>1833405.2649352392</v>
      </c>
      <c r="AM65" s="16">
        <f>-F65</f>
        <v>-20379.532695807367</v>
      </c>
      <c r="AN65" s="16">
        <f t="shared" si="24"/>
        <v>-9301227.4250415787</v>
      </c>
      <c r="AQ65" s="2">
        <v>41</v>
      </c>
      <c r="AR65" s="20">
        <v>444.66234862744687</v>
      </c>
      <c r="AS65" s="19">
        <f t="shared" si="25"/>
        <v>7.4762860075545667E-3</v>
      </c>
      <c r="AT65" s="17">
        <f t="shared" si="26"/>
        <v>570004986.10091388</v>
      </c>
      <c r="AU65" s="17">
        <f t="shared" si="27"/>
        <v>4545299.8043440254</v>
      </c>
      <c r="AV65" s="17">
        <f t="shared" si="28"/>
        <v>4261520.3018225981</v>
      </c>
      <c r="AW65" s="17">
        <f t="shared" si="29"/>
        <v>33981.961327357749</v>
      </c>
      <c r="AX65" s="17">
        <f t="shared" si="30"/>
        <v>8840802.0674939826</v>
      </c>
      <c r="AY65" s="17">
        <f t="shared" si="31"/>
        <v>578845788.16840792</v>
      </c>
      <c r="AZ65" s="17">
        <f>+AR65*F65</f>
        <v>9062010.8724475484</v>
      </c>
      <c r="BA65" s="17">
        <f t="shared" si="32"/>
        <v>569783777.29596043</v>
      </c>
      <c r="BB65" s="17">
        <f t="shared" si="33"/>
        <v>221208.80495356582</v>
      </c>
      <c r="BC65" s="16">
        <f t="shared" si="34"/>
        <v>-2578878.75357915</v>
      </c>
      <c r="BD65" s="16">
        <f t="shared" si="35"/>
        <v>-9062010.8724475484</v>
      </c>
    </row>
    <row r="66" spans="2:56" x14ac:dyDescent="0.35">
      <c r="B66" s="2">
        <v>42</v>
      </c>
      <c r="C66" s="17">
        <f t="shared" si="40"/>
        <v>1281385.2556995868</v>
      </c>
      <c r="D66" s="18">
        <f t="shared" si="1"/>
        <v>10217.945972475263</v>
      </c>
      <c r="E66" s="17">
        <f t="shared" si="41"/>
        <v>1291603.201672062</v>
      </c>
      <c r="F66" s="18">
        <f t="shared" si="42"/>
        <v>20379.532695807367</v>
      </c>
      <c r="G66" s="17">
        <f t="shared" si="43"/>
        <v>1271223.6689762548</v>
      </c>
      <c r="H66" s="17">
        <f t="shared" si="44"/>
        <v>10161.586723332104</v>
      </c>
      <c r="I66" s="16"/>
      <c r="J66" s="16"/>
      <c r="K66" s="2">
        <v>42</v>
      </c>
      <c r="L66" s="2">
        <v>431.777207826802</v>
      </c>
      <c r="M66" s="19">
        <f t="shared" si="5"/>
        <v>3.1667287522465504E-3</v>
      </c>
      <c r="N66" s="17">
        <f t="shared" si="6"/>
        <v>551526413.30576098</v>
      </c>
      <c r="O66" s="17">
        <f t="shared" si="7"/>
        <v>4397949.0699497554</v>
      </c>
      <c r="P66" s="17">
        <f t="shared" si="8"/>
        <v>1746534.5506387677</v>
      </c>
      <c r="Q66" s="17">
        <f t="shared" si="9"/>
        <v>13927.111770725865</v>
      </c>
      <c r="R66" s="17">
        <f t="shared" si="10"/>
        <v>6158410.7323592491</v>
      </c>
      <c r="S66" s="17">
        <f t="shared" si="11"/>
        <v>557684824.03812027</v>
      </c>
      <c r="T66" s="17">
        <f>+F66*L66</f>
        <v>8799417.7242107242</v>
      </c>
      <c r="U66" s="17">
        <f t="shared" si="12"/>
        <v>548885406.31390953</v>
      </c>
      <c r="V66" s="17">
        <f t="shared" si="13"/>
        <v>2641006.9918514751</v>
      </c>
      <c r="W66" s="16">
        <f>-F66</f>
        <v>-20379.532695807367</v>
      </c>
      <c r="X66" s="16">
        <f t="shared" si="14"/>
        <v>-8799417.7242107242</v>
      </c>
      <c r="Y66" s="16"/>
      <c r="Z66" s="16"/>
      <c r="AA66" s="2">
        <v>42</v>
      </c>
      <c r="AB66" s="20">
        <v>458.55357209354241</v>
      </c>
      <c r="AC66" s="19">
        <f t="shared" si="15"/>
        <v>4.7176666275132728E-3</v>
      </c>
      <c r="AD66" s="17">
        <f t="shared" si="16"/>
        <v>584824777.89144123</v>
      </c>
      <c r="AE66" s="17">
        <f t="shared" si="17"/>
        <v>4663474.9052088056</v>
      </c>
      <c r="AF66" s="17">
        <f t="shared" si="18"/>
        <v>2759008.3376013143</v>
      </c>
      <c r="AG66" s="17">
        <f t="shared" si="19"/>
        <v>22000.719928549206</v>
      </c>
      <c r="AH66" s="17">
        <f t="shared" si="20"/>
        <v>7444483.9627386695</v>
      </c>
      <c r="AI66" s="17">
        <f t="shared" si="21"/>
        <v>592269261.85417986</v>
      </c>
      <c r="AJ66" s="17">
        <f>+AB66*F66</f>
        <v>9345107.5152596086</v>
      </c>
      <c r="AK66" s="17">
        <f t="shared" si="22"/>
        <v>582924154.33892024</v>
      </c>
      <c r="AL66" s="17">
        <f t="shared" si="23"/>
        <v>1900623.5525209391</v>
      </c>
      <c r="AM66" s="16">
        <f>-F66</f>
        <v>-20379.532695807367</v>
      </c>
      <c r="AN66" s="16">
        <f t="shared" si="24"/>
        <v>-9345107.5152596086</v>
      </c>
      <c r="AQ66" s="2">
        <v>42</v>
      </c>
      <c r="AR66" s="20">
        <v>447.43649651414688</v>
      </c>
      <c r="AS66" s="19">
        <f t="shared" si="25"/>
        <v>6.2387739714484525E-3</v>
      </c>
      <c r="AT66" s="17">
        <f t="shared" si="26"/>
        <v>569783777.29596043</v>
      </c>
      <c r="AU66" s="17">
        <f t="shared" si="27"/>
        <v>4543535.8542692168</v>
      </c>
      <c r="AV66" s="17">
        <f t="shared" si="28"/>
        <v>3554752.1991476198</v>
      </c>
      <c r="AW66" s="17">
        <f t="shared" si="29"/>
        <v>28346.0932259576</v>
      </c>
      <c r="AX66" s="17">
        <f t="shared" si="30"/>
        <v>8126634.1466427948</v>
      </c>
      <c r="AY66" s="17">
        <f t="shared" si="31"/>
        <v>577910411.44260323</v>
      </c>
      <c r="AZ66" s="17">
        <f>+AR66*F66</f>
        <v>9118546.7100075558</v>
      </c>
      <c r="BA66" s="17">
        <f t="shared" si="32"/>
        <v>568791864.73259568</v>
      </c>
      <c r="BB66" s="17">
        <f t="shared" si="33"/>
        <v>991912.56336476095</v>
      </c>
      <c r="BC66" s="16">
        <f t="shared" si="34"/>
        <v>-2641006.9918514751</v>
      </c>
      <c r="BD66" s="16">
        <f t="shared" si="35"/>
        <v>-9118546.7100075558</v>
      </c>
    </row>
    <row r="67" spans="2:56" x14ac:dyDescent="0.35">
      <c r="B67" s="2">
        <v>43</v>
      </c>
      <c r="C67" s="17">
        <f t="shared" si="40"/>
        <v>1271223.6689762548</v>
      </c>
      <c r="D67" s="18">
        <f t="shared" si="1"/>
        <v>10136.91605296293</v>
      </c>
      <c r="E67" s="17">
        <f t="shared" si="41"/>
        <v>1281360.5850292176</v>
      </c>
      <c r="F67" s="18">
        <f t="shared" si="42"/>
        <v>20379.532695807367</v>
      </c>
      <c r="G67" s="17">
        <f t="shared" si="43"/>
        <v>1260981.0523334104</v>
      </c>
      <c r="H67" s="17">
        <f t="shared" si="44"/>
        <v>10242.616642844438</v>
      </c>
      <c r="I67" s="16"/>
      <c r="J67" s="16"/>
      <c r="K67" s="2">
        <v>43</v>
      </c>
      <c r="L67" s="2">
        <v>433.14018516961619</v>
      </c>
      <c r="M67" s="19">
        <f t="shared" si="5"/>
        <v>3.1566681105617E-3</v>
      </c>
      <c r="N67" s="17">
        <f t="shared" si="6"/>
        <v>548885406.31390953</v>
      </c>
      <c r="O67" s="17">
        <f t="shared" si="7"/>
        <v>4376889.3093230156</v>
      </c>
      <c r="P67" s="17">
        <f t="shared" si="8"/>
        <v>1732649.0584638198</v>
      </c>
      <c r="Q67" s="17">
        <f t="shared" si="9"/>
        <v>13816.386906198388</v>
      </c>
      <c r="R67" s="17">
        <f t="shared" si="10"/>
        <v>6123354.7546930332</v>
      </c>
      <c r="S67" s="17">
        <f t="shared" si="11"/>
        <v>555008761.06860256</v>
      </c>
      <c r="T67" s="17">
        <f>+F67*L67</f>
        <v>8827194.5655322503</v>
      </c>
      <c r="U67" s="17">
        <f t="shared" si="12"/>
        <v>546181566.50307035</v>
      </c>
      <c r="V67" s="17">
        <f t="shared" si="13"/>
        <v>2703839.8108392172</v>
      </c>
      <c r="W67" s="16">
        <f>-F67</f>
        <v>-20379.532695807367</v>
      </c>
      <c r="X67" s="16">
        <f t="shared" si="14"/>
        <v>-8827194.5655322503</v>
      </c>
      <c r="Y67" s="16"/>
      <c r="Z67" s="16"/>
      <c r="AA67" s="2">
        <v>43</v>
      </c>
      <c r="AB67" s="20">
        <v>460.7168749775351</v>
      </c>
      <c r="AC67" s="19">
        <f t="shared" si="15"/>
        <v>4.7176666275132728E-3</v>
      </c>
      <c r="AD67" s="17">
        <f t="shared" si="16"/>
        <v>582924154.33892024</v>
      </c>
      <c r="AE67" s="17">
        <f t="shared" si="17"/>
        <v>4648319.0660985215</v>
      </c>
      <c r="AF67" s="17">
        <f t="shared" si="18"/>
        <v>2750041.8292961204</v>
      </c>
      <c r="AG67" s="17">
        <f t="shared" si="19"/>
        <v>21929.219732166657</v>
      </c>
      <c r="AH67" s="17">
        <f t="shared" si="20"/>
        <v>7420290.1151268082</v>
      </c>
      <c r="AI67" s="17">
        <f t="shared" si="21"/>
        <v>590344444.45404708</v>
      </c>
      <c r="AJ67" s="17">
        <f>+AB67*F67</f>
        <v>9389194.6171148717</v>
      </c>
      <c r="AK67" s="17">
        <f t="shared" si="22"/>
        <v>580955249.83693218</v>
      </c>
      <c r="AL67" s="17">
        <f t="shared" si="23"/>
        <v>1968904.5019880636</v>
      </c>
      <c r="AM67" s="16">
        <f>-F67</f>
        <v>-20379.532695807367</v>
      </c>
      <c r="AN67" s="16">
        <f t="shared" si="24"/>
        <v>-9389194.6171148717</v>
      </c>
      <c r="AQ67" s="2">
        <v>43</v>
      </c>
      <c r="AR67" s="20">
        <v>449.8203146477108</v>
      </c>
      <c r="AS67" s="19">
        <f t="shared" si="25"/>
        <v>5.3277239387836683E-3</v>
      </c>
      <c r="AT67" s="17">
        <f t="shared" si="26"/>
        <v>568791864.73259568</v>
      </c>
      <c r="AU67" s="17">
        <f t="shared" si="27"/>
        <v>4535626.2041957527</v>
      </c>
      <c r="AV67" s="17">
        <f t="shared" si="28"/>
        <v>3030366.033921252</v>
      </c>
      <c r="AW67" s="17">
        <f t="shared" si="29"/>
        <v>24164.564305468215</v>
      </c>
      <c r="AX67" s="17">
        <f t="shared" si="30"/>
        <v>7590156.8024224732</v>
      </c>
      <c r="AY67" s="17">
        <f t="shared" si="31"/>
        <v>576382021.53501821</v>
      </c>
      <c r="AZ67" s="17">
        <f>+AR67*F67</f>
        <v>9167127.8096013796</v>
      </c>
      <c r="BA67" s="17">
        <f t="shared" si="32"/>
        <v>567214893.72541678</v>
      </c>
      <c r="BB67" s="17">
        <f t="shared" si="33"/>
        <v>1576971.0071789064</v>
      </c>
      <c r="BC67" s="16">
        <f t="shared" si="34"/>
        <v>-2703839.8108392172</v>
      </c>
      <c r="BD67" s="16">
        <f t="shared" si="35"/>
        <v>-9167127.8096013796</v>
      </c>
    </row>
    <row r="68" spans="2:56" x14ac:dyDescent="0.35">
      <c r="B68" s="2">
        <v>44</v>
      </c>
      <c r="C68" s="17">
        <f t="shared" si="40"/>
        <v>1260981.0523334104</v>
      </c>
      <c r="D68" s="18">
        <f t="shared" si="1"/>
        <v>10055.239989493461</v>
      </c>
      <c r="E68" s="17">
        <f t="shared" si="41"/>
        <v>1271036.2923229039</v>
      </c>
      <c r="F68" s="18">
        <f t="shared" si="42"/>
        <v>20379.532695807367</v>
      </c>
      <c r="G68" s="17">
        <f t="shared" si="43"/>
        <v>1250656.7596270966</v>
      </c>
      <c r="H68" s="17">
        <f t="shared" si="44"/>
        <v>10324.292706313907</v>
      </c>
      <c r="I68" s="16"/>
      <c r="J68" s="16"/>
      <c r="K68" s="2">
        <v>44</v>
      </c>
      <c r="L68" s="2">
        <v>434.50317303310038</v>
      </c>
      <c r="M68" s="19">
        <f t="shared" si="5"/>
        <v>3.146759202105498E-3</v>
      </c>
      <c r="N68" s="17">
        <f t="shared" si="6"/>
        <v>546181566.50307035</v>
      </c>
      <c r="O68" s="17">
        <f t="shared" si="7"/>
        <v>4355328.5109741231</v>
      </c>
      <c r="P68" s="17">
        <f t="shared" si="8"/>
        <v>1718701.8704139327</v>
      </c>
      <c r="Q68" s="17">
        <f t="shared" si="9"/>
        <v>13705.170070100259</v>
      </c>
      <c r="R68" s="17">
        <f t="shared" si="10"/>
        <v>6087735.5514581567</v>
      </c>
      <c r="S68" s="17">
        <f t="shared" si="11"/>
        <v>552269302.05452847</v>
      </c>
      <c r="T68" s="17">
        <f>+F68*L68</f>
        <v>8854971.6212601159</v>
      </c>
      <c r="U68" s="17">
        <f t="shared" si="12"/>
        <v>543414330.43326831</v>
      </c>
      <c r="V68" s="17">
        <f t="shared" si="13"/>
        <v>2767236.0698019592</v>
      </c>
      <c r="W68" s="16">
        <f>-F68</f>
        <v>-20379.532695807367</v>
      </c>
      <c r="X68" s="16">
        <f t="shared" si="14"/>
        <v>-8854971.6212601159</v>
      </c>
      <c r="Y68" s="16"/>
      <c r="Z68" s="16"/>
      <c r="AA68" s="2">
        <v>44</v>
      </c>
      <c r="AB68" s="20">
        <v>462.89038360334888</v>
      </c>
      <c r="AC68" s="19">
        <f t="shared" si="15"/>
        <v>4.7176666275134949E-3</v>
      </c>
      <c r="AD68" s="17">
        <f t="shared" si="16"/>
        <v>580955249.83693218</v>
      </c>
      <c r="AE68" s="17">
        <f t="shared" si="17"/>
        <v>4632618.7451085681</v>
      </c>
      <c r="AF68" s="17">
        <f t="shared" si="18"/>
        <v>2740753.1942344597</v>
      </c>
      <c r="AG68" s="17">
        <f t="shared" si="19"/>
        <v>21855.150851792136</v>
      </c>
      <c r="AH68" s="17">
        <f t="shared" si="20"/>
        <v>7395227.0901948195</v>
      </c>
      <c r="AI68" s="17">
        <f t="shared" si="21"/>
        <v>588350476.927127</v>
      </c>
      <c r="AJ68" s="17">
        <f>+AB68*F68</f>
        <v>9433489.7072192635</v>
      </c>
      <c r="AK68" s="17">
        <f t="shared" si="22"/>
        <v>578916987.21990776</v>
      </c>
      <c r="AL68" s="17">
        <f t="shared" si="23"/>
        <v>2038262.617024444</v>
      </c>
      <c r="AM68" s="16">
        <f>-F68</f>
        <v>-20379.532695807367</v>
      </c>
      <c r="AN68" s="16">
        <f t="shared" si="24"/>
        <v>-9433489.7072192635</v>
      </c>
      <c r="AQ68" s="2">
        <v>44</v>
      </c>
      <c r="AR68" s="20">
        <v>452.21510975152819</v>
      </c>
      <c r="AS68" s="19">
        <f t="shared" si="25"/>
        <v>5.3238927319076979E-3</v>
      </c>
      <c r="AT68" s="17">
        <f t="shared" si="26"/>
        <v>567214893.72541678</v>
      </c>
      <c r="AU68" s="17">
        <f t="shared" si="27"/>
        <v>4523051.2159321979</v>
      </c>
      <c r="AV68" s="17">
        <f t="shared" si="28"/>
        <v>3019791.2501345435</v>
      </c>
      <c r="AW68" s="17">
        <f t="shared" si="29"/>
        <v>24080.239494547703</v>
      </c>
      <c r="AX68" s="17">
        <f t="shared" si="30"/>
        <v>7566922.7055612886</v>
      </c>
      <c r="AY68" s="17">
        <f t="shared" si="31"/>
        <v>574781816.43097806</v>
      </c>
      <c r="AZ68" s="17">
        <f>+AR68*F68</f>
        <v>9215932.6147193853</v>
      </c>
      <c r="BA68" s="17">
        <f t="shared" si="32"/>
        <v>565565883.81625867</v>
      </c>
      <c r="BB68" s="17">
        <f t="shared" si="33"/>
        <v>1649009.9091580966</v>
      </c>
      <c r="BC68" s="16">
        <f t="shared" si="34"/>
        <v>-2767236.0698019592</v>
      </c>
      <c r="BD68" s="16">
        <f t="shared" si="35"/>
        <v>-9215932.6147193853</v>
      </c>
    </row>
    <row r="69" spans="2:56" x14ac:dyDescent="0.35">
      <c r="B69" s="2">
        <v>45</v>
      </c>
      <c r="C69" s="17">
        <f t="shared" si="40"/>
        <v>1250656.7596270966</v>
      </c>
      <c r="D69" s="18">
        <f t="shared" si="1"/>
        <v>9972.9126296242084</v>
      </c>
      <c r="E69" s="17">
        <f t="shared" si="41"/>
        <v>1260629.6722567207</v>
      </c>
      <c r="F69" s="18">
        <f t="shared" si="42"/>
        <v>20379.532695807367</v>
      </c>
      <c r="G69" s="17">
        <f t="shared" si="43"/>
        <v>1240250.1395609134</v>
      </c>
      <c r="H69" s="17">
        <f t="shared" si="44"/>
        <v>10406.620066183159</v>
      </c>
      <c r="I69" s="16"/>
      <c r="J69" s="16"/>
      <c r="K69" s="2">
        <v>45</v>
      </c>
      <c r="L69" s="2">
        <v>435.86616305109823</v>
      </c>
      <c r="M69" s="19">
        <f t="shared" si="5"/>
        <v>3.1368931289577073E-3</v>
      </c>
      <c r="N69" s="17">
        <f t="shared" si="6"/>
        <v>543414330.43326831</v>
      </c>
      <c r="O69" s="17">
        <f t="shared" si="7"/>
        <v>4333262.1819535941</v>
      </c>
      <c r="P69" s="17">
        <f t="shared" si="8"/>
        <v>1704632.6793132725</v>
      </c>
      <c r="Q69" s="17">
        <f t="shared" si="9"/>
        <v>13592.980364542513</v>
      </c>
      <c r="R69" s="17">
        <f t="shared" si="10"/>
        <v>6051487.8416314088</v>
      </c>
      <c r="S69" s="17">
        <f t="shared" si="11"/>
        <v>549465818.27489972</v>
      </c>
      <c r="T69" s="17">
        <f>+F69*L69</f>
        <v>8882748.7208959609</v>
      </c>
      <c r="U69" s="17">
        <f t="shared" si="12"/>
        <v>540583069.55400372</v>
      </c>
      <c r="V69" s="17">
        <f t="shared" si="13"/>
        <v>2831260.8792645521</v>
      </c>
      <c r="W69" s="16">
        <f>-F69</f>
        <v>-20379.532695807367</v>
      </c>
      <c r="X69" s="16">
        <f t="shared" si="14"/>
        <v>-8882748.7208959609</v>
      </c>
      <c r="Y69" s="16"/>
      <c r="Z69" s="16"/>
      <c r="AA69" s="2">
        <v>45</v>
      </c>
      <c r="AB69" s="20">
        <v>465.07414611827119</v>
      </c>
      <c r="AC69" s="19">
        <f t="shared" si="15"/>
        <v>4.7176666275132728E-3</v>
      </c>
      <c r="AD69" s="17">
        <f t="shared" si="16"/>
        <v>578916987.21990776</v>
      </c>
      <c r="AE69" s="17">
        <f t="shared" si="17"/>
        <v>4616365.3527694307</v>
      </c>
      <c r="AF69" s="17">
        <f t="shared" si="18"/>
        <v>2731137.3507078867</v>
      </c>
      <c r="AG69" s="17">
        <f t="shared" si="19"/>
        <v>21778.472765168881</v>
      </c>
      <c r="AH69" s="17">
        <f t="shared" si="20"/>
        <v>7369281.1762424866</v>
      </c>
      <c r="AI69" s="17">
        <f t="shared" si="21"/>
        <v>586286268.39615023</v>
      </c>
      <c r="AJ69" s="17">
        <f>+AB69*F69</f>
        <v>9477993.7667920012</v>
      </c>
      <c r="AK69" s="17">
        <f t="shared" si="22"/>
        <v>576808274.62935817</v>
      </c>
      <c r="AL69" s="17">
        <f t="shared" si="23"/>
        <v>2108712.5905495146</v>
      </c>
      <c r="AM69" s="16">
        <f>-F69</f>
        <v>-20379.532695807367</v>
      </c>
      <c r="AN69" s="16">
        <f t="shared" si="24"/>
        <v>-9477993.7667920012</v>
      </c>
      <c r="AQ69" s="2">
        <v>45</v>
      </c>
      <c r="AR69" s="20">
        <v>453.70612388121361</v>
      </c>
      <c r="AS69" s="19">
        <f t="shared" si="25"/>
        <v>3.2971346988044381E-3</v>
      </c>
      <c r="AT69" s="17">
        <f t="shared" si="26"/>
        <v>565565883.81625867</v>
      </c>
      <c r="AU69" s="17">
        <f t="shared" si="27"/>
        <v>4509901.7793479171</v>
      </c>
      <c r="AV69" s="17">
        <f t="shared" si="28"/>
        <v>1864746.8999905859</v>
      </c>
      <c r="AW69" s="17">
        <f t="shared" si="29"/>
        <v>14869.753644887895</v>
      </c>
      <c r="AX69" s="17">
        <f t="shared" si="30"/>
        <v>6389518.432983391</v>
      </c>
      <c r="AY69" s="17">
        <f t="shared" si="31"/>
        <v>571955402.24924207</v>
      </c>
      <c r="AZ69" s="17">
        <f>+AR69*F69</f>
        <v>9246318.7859252207</v>
      </c>
      <c r="BA69" s="17">
        <f t="shared" si="32"/>
        <v>562709083.4633168</v>
      </c>
      <c r="BB69" s="17">
        <f t="shared" si="33"/>
        <v>2856800.3529418297</v>
      </c>
      <c r="BC69" s="16">
        <f t="shared" si="34"/>
        <v>-2831260.8792645521</v>
      </c>
      <c r="BD69" s="16">
        <f t="shared" si="35"/>
        <v>-9246318.7859252207</v>
      </c>
    </row>
    <row r="70" spans="2:56" x14ac:dyDescent="0.35">
      <c r="B70" s="2">
        <v>46</v>
      </c>
      <c r="C70" s="17">
        <f t="shared" si="40"/>
        <v>1240250.1395609134</v>
      </c>
      <c r="D70" s="18">
        <f t="shared" si="1"/>
        <v>9889.9287798262158</v>
      </c>
      <c r="E70" s="17">
        <f t="shared" si="41"/>
        <v>1250140.0683407397</v>
      </c>
      <c r="F70" s="18">
        <f t="shared" si="42"/>
        <v>20379.532695807367</v>
      </c>
      <c r="G70" s="17">
        <f t="shared" si="43"/>
        <v>1229760.5356449324</v>
      </c>
      <c r="H70" s="17">
        <f t="shared" si="44"/>
        <v>10489.603915981152</v>
      </c>
      <c r="I70" s="16"/>
      <c r="J70" s="16"/>
      <c r="K70" s="2">
        <v>46</v>
      </c>
      <c r="L70" s="2">
        <v>437.22914252365399</v>
      </c>
      <c r="M70" s="19">
        <f t="shared" si="5"/>
        <v>3.1270596070471779E-3</v>
      </c>
      <c r="N70" s="17">
        <f t="shared" si="6"/>
        <v>540583069.55400372</v>
      </c>
      <c r="O70" s="17">
        <f t="shared" si="7"/>
        <v>4310685.310111477</v>
      </c>
      <c r="P70" s="17">
        <f t="shared" si="8"/>
        <v>1690435.4810559</v>
      </c>
      <c r="Q70" s="17">
        <f t="shared" si="9"/>
        <v>13479.769911941237</v>
      </c>
      <c r="R70" s="17">
        <f t="shared" si="10"/>
        <v>6014600.5610793177</v>
      </c>
      <c r="S70" s="17">
        <f t="shared" si="11"/>
        <v>546597670.11508298</v>
      </c>
      <c r="T70" s="17">
        <f>+F70*L70</f>
        <v>8910525.6056206264</v>
      </c>
      <c r="U70" s="17">
        <f t="shared" si="12"/>
        <v>537687144.50946236</v>
      </c>
      <c r="V70" s="17">
        <f t="shared" si="13"/>
        <v>2895925.0445413087</v>
      </c>
      <c r="W70" s="16">
        <f>-F70</f>
        <v>-20379.532695807367</v>
      </c>
      <c r="X70" s="16">
        <f t="shared" si="14"/>
        <v>-8910525.6056206264</v>
      </c>
      <c r="Y70" s="16"/>
      <c r="Z70" s="16"/>
      <c r="AA70" s="2">
        <v>46</v>
      </c>
      <c r="AB70" s="20">
        <v>467.26821089673263</v>
      </c>
      <c r="AC70" s="19">
        <f t="shared" si="15"/>
        <v>4.7176666275132728E-3</v>
      </c>
      <c r="AD70" s="17">
        <f t="shared" si="16"/>
        <v>576808274.62935817</v>
      </c>
      <c r="AE70" s="17">
        <f t="shared" si="17"/>
        <v>4599550.1824481906</v>
      </c>
      <c r="AF70" s="17">
        <f t="shared" si="18"/>
        <v>2721189.147692434</v>
      </c>
      <c r="AG70" s="17">
        <f t="shared" si="19"/>
        <v>21699.144397308413</v>
      </c>
      <c r="AH70" s="17">
        <f t="shared" si="20"/>
        <v>7342438.4745379332</v>
      </c>
      <c r="AI70" s="17">
        <f t="shared" si="21"/>
        <v>584150713.10389614</v>
      </c>
      <c r="AJ70" s="17">
        <f>+AB70*F70</f>
        <v>9522707.7816813756</v>
      </c>
      <c r="AK70" s="17">
        <f t="shared" si="22"/>
        <v>574628005.32221472</v>
      </c>
      <c r="AL70" s="17">
        <f t="shared" si="23"/>
        <v>2180269.3071434423</v>
      </c>
      <c r="AM70" s="16">
        <f>-F70</f>
        <v>-20379.532695807367</v>
      </c>
      <c r="AN70" s="16">
        <f t="shared" si="24"/>
        <v>-9522707.7816813756</v>
      </c>
      <c r="AQ70" s="2">
        <v>46</v>
      </c>
      <c r="AR70" s="20">
        <v>455.05208732683428</v>
      </c>
      <c r="AS70" s="19">
        <f t="shared" si="25"/>
        <v>2.9665974840864529E-3</v>
      </c>
      <c r="AT70" s="17">
        <f t="shared" si="26"/>
        <v>562709083.4633168</v>
      </c>
      <c r="AU70" s="17">
        <f t="shared" si="27"/>
        <v>4487121.2521562167</v>
      </c>
      <c r="AV70" s="17">
        <f t="shared" si="28"/>
        <v>1669331.3512748694</v>
      </c>
      <c r="AW70" s="17">
        <f t="shared" si="29"/>
        <v>13311.482617437487</v>
      </c>
      <c r="AX70" s="17">
        <f t="shared" si="30"/>
        <v>6169764.0860485239</v>
      </c>
      <c r="AY70" s="17">
        <f t="shared" si="31"/>
        <v>568878847.54936528</v>
      </c>
      <c r="AZ70" s="17">
        <f>+AR70*F70</f>
        <v>9273748.8919726089</v>
      </c>
      <c r="BA70" s="17">
        <f t="shared" si="32"/>
        <v>559605098.65739262</v>
      </c>
      <c r="BB70" s="17">
        <f t="shared" si="33"/>
        <v>3103984.805924085</v>
      </c>
      <c r="BC70" s="16">
        <f t="shared" si="34"/>
        <v>-2895925.0445413087</v>
      </c>
      <c r="BD70" s="16">
        <f t="shared" si="35"/>
        <v>-9273748.8919726089</v>
      </c>
    </row>
    <row r="71" spans="2:56" x14ac:dyDescent="0.35">
      <c r="B71" s="2">
        <v>47</v>
      </c>
      <c r="C71" s="17">
        <f t="shared" si="40"/>
        <v>1229760.5356449324</v>
      </c>
      <c r="D71" s="18">
        <f t="shared" si="1"/>
        <v>9806.2832051566038</v>
      </c>
      <c r="E71" s="17">
        <f t="shared" si="41"/>
        <v>1239566.8188500891</v>
      </c>
      <c r="F71" s="18">
        <f t="shared" si="42"/>
        <v>20379.532695807367</v>
      </c>
      <c r="G71" s="17">
        <f t="shared" si="43"/>
        <v>1219187.2861542818</v>
      </c>
      <c r="H71" s="17">
        <f t="shared" si="44"/>
        <v>10573.249490650764</v>
      </c>
      <c r="I71" s="16"/>
      <c r="J71" s="16"/>
      <c r="K71" s="2">
        <v>47</v>
      </c>
      <c r="L71" s="2">
        <v>438.59213720842507</v>
      </c>
      <c r="M71" s="19">
        <f t="shared" si="5"/>
        <v>3.1173463802161017E-3</v>
      </c>
      <c r="N71" s="17">
        <f t="shared" si="6"/>
        <v>537687144.50946236</v>
      </c>
      <c r="O71" s="17">
        <f t="shared" si="7"/>
        <v>4287592.7971347244</v>
      </c>
      <c r="P71" s="17">
        <f t="shared" si="8"/>
        <v>1676157.0736253045</v>
      </c>
      <c r="Q71" s="17">
        <f t="shared" si="9"/>
        <v>13365.911885988564</v>
      </c>
      <c r="R71" s="17">
        <f t="shared" si="10"/>
        <v>5977115.7826460181</v>
      </c>
      <c r="S71" s="17">
        <f t="shared" si="11"/>
        <v>543664260.29210842</v>
      </c>
      <c r="T71" s="17">
        <f>+F71*L71</f>
        <v>8938302.800363129</v>
      </c>
      <c r="U71" s="17">
        <f t="shared" si="12"/>
        <v>534725957.49174529</v>
      </c>
      <c r="V71" s="17">
        <f t="shared" si="13"/>
        <v>2961187.0177171109</v>
      </c>
      <c r="W71" s="16">
        <f>-F71</f>
        <v>-20379.532695807367</v>
      </c>
      <c r="X71" s="16">
        <f t="shared" si="14"/>
        <v>-8938302.800363129</v>
      </c>
      <c r="Y71" s="16"/>
      <c r="Z71" s="16"/>
      <c r="AA71" s="2">
        <v>47</v>
      </c>
      <c r="AB71" s="20">
        <v>469.47262654137802</v>
      </c>
      <c r="AC71" s="19">
        <f t="shared" si="15"/>
        <v>4.7176666275132728E-3</v>
      </c>
      <c r="AD71" s="17">
        <f t="shared" si="16"/>
        <v>574628005.32221472</v>
      </c>
      <c r="AE71" s="17">
        <f t="shared" si="17"/>
        <v>4582164.4088201998</v>
      </c>
      <c r="AF71" s="17">
        <f t="shared" si="18"/>
        <v>2710903.3639431316</v>
      </c>
      <c r="AG71" s="17">
        <f t="shared" si="19"/>
        <v>21617.12411327014</v>
      </c>
      <c r="AH71" s="17">
        <f t="shared" si="20"/>
        <v>7314684.8968766015</v>
      </c>
      <c r="AI71" s="17">
        <f t="shared" si="21"/>
        <v>581942690.2190913</v>
      </c>
      <c r="AJ71" s="17">
        <f>+AB71*F71</f>
        <v>9567632.7423865758</v>
      </c>
      <c r="AK71" s="17">
        <f t="shared" si="22"/>
        <v>572375057.47670472</v>
      </c>
      <c r="AL71" s="17">
        <f t="shared" si="23"/>
        <v>2252947.8455099743</v>
      </c>
      <c r="AM71" s="16">
        <f>-F71</f>
        <v>-20379.532695807367</v>
      </c>
      <c r="AN71" s="16">
        <f t="shared" si="24"/>
        <v>-9567632.7423865758</v>
      </c>
      <c r="AQ71" s="2">
        <v>47</v>
      </c>
      <c r="AR71" s="20">
        <v>456.3767576649019</v>
      </c>
      <c r="AS71" s="19">
        <f t="shared" si="25"/>
        <v>2.9110301325048216E-3</v>
      </c>
      <c r="AT71" s="17">
        <f t="shared" si="26"/>
        <v>559605098.65739262</v>
      </c>
      <c r="AU71" s="17">
        <f t="shared" si="27"/>
        <v>4462369.6414245944</v>
      </c>
      <c r="AV71" s="17">
        <f t="shared" si="28"/>
        <v>1629027.3044950033</v>
      </c>
      <c r="AW71" s="17">
        <f t="shared" si="29"/>
        <v>12990.09248856173</v>
      </c>
      <c r="AX71" s="17">
        <f t="shared" si="30"/>
        <v>6104387.0384081593</v>
      </c>
      <c r="AY71" s="17">
        <f t="shared" si="31"/>
        <v>565709485.69580078</v>
      </c>
      <c r="AZ71" s="17">
        <f>+AR71*F71</f>
        <v>9300745.0544384234</v>
      </c>
      <c r="BA71" s="17">
        <f t="shared" si="32"/>
        <v>556408740.64136231</v>
      </c>
      <c r="BB71" s="17">
        <f t="shared" si="33"/>
        <v>3196358.0160302641</v>
      </c>
      <c r="BC71" s="16">
        <f t="shared" si="34"/>
        <v>-2961187.0177171109</v>
      </c>
      <c r="BD71" s="16">
        <f t="shared" si="35"/>
        <v>-9300745.0544384234</v>
      </c>
    </row>
    <row r="72" spans="2:56" x14ac:dyDescent="0.35">
      <c r="B72" s="2">
        <v>48</v>
      </c>
      <c r="C72" s="17">
        <f t="shared" si="40"/>
        <v>1219187.2861542818</v>
      </c>
      <c r="D72" s="18">
        <f t="shared" si="1"/>
        <v>9721.9706289283204</v>
      </c>
      <c r="E72" s="17">
        <f t="shared" si="41"/>
        <v>1228909.2567832102</v>
      </c>
      <c r="F72" s="18">
        <f>+$F$15+C14</f>
        <v>70379.532695807371</v>
      </c>
      <c r="G72" s="17">
        <f t="shared" si="43"/>
        <v>1158529.7240874029</v>
      </c>
      <c r="H72" s="17">
        <f t="shared" si="44"/>
        <v>60657.562066879051</v>
      </c>
      <c r="I72" s="16"/>
      <c r="J72" s="16"/>
      <c r="K72" s="2">
        <v>48</v>
      </c>
      <c r="L72" s="2">
        <v>439.95511499658681</v>
      </c>
      <c r="M72" s="19">
        <f t="shared" si="5"/>
        <v>3.1076202068667236E-3</v>
      </c>
      <c r="N72" s="17">
        <f t="shared" si="6"/>
        <v>534725957.49174529</v>
      </c>
      <c r="O72" s="17">
        <f t="shared" si="7"/>
        <v>4263979.8760192022</v>
      </c>
      <c r="P72" s="17">
        <f t="shared" si="8"/>
        <v>1661725.1906375044</v>
      </c>
      <c r="Q72" s="17">
        <f t="shared" si="9"/>
        <v>13250.83002439034</v>
      </c>
      <c r="R72" s="17">
        <f t="shared" si="10"/>
        <v>5938955.8966810973</v>
      </c>
      <c r="S72" s="17">
        <f t="shared" si="11"/>
        <v>540664913.38842642</v>
      </c>
      <c r="T72" s="17">
        <f>+F72*L72</f>
        <v>30963835.400589973</v>
      </c>
      <c r="U72" s="17">
        <f t="shared" si="12"/>
        <v>509701077.98783648</v>
      </c>
      <c r="V72" s="17">
        <f t="shared" si="13"/>
        <v>25024879.503908876</v>
      </c>
      <c r="W72" s="16">
        <f>-F72</f>
        <v>-70379.532695807371</v>
      </c>
      <c r="X72" s="16">
        <f t="shared" si="14"/>
        <v>-30963835.400589973</v>
      </c>
      <c r="Y72" s="16"/>
      <c r="Z72" s="16"/>
      <c r="AA72" s="2">
        <v>48</v>
      </c>
      <c r="AB72" s="20">
        <v>471.68744188414331</v>
      </c>
      <c r="AC72" s="19">
        <f t="shared" si="15"/>
        <v>4.7176666275132728E-3</v>
      </c>
      <c r="AD72" s="17">
        <f t="shared" si="16"/>
        <v>572375057.47670472</v>
      </c>
      <c r="AE72" s="17">
        <f t="shared" si="17"/>
        <v>4564199.0863211071</v>
      </c>
      <c r="AF72" s="17">
        <f t="shared" si="18"/>
        <v>2700274.707078841</v>
      </c>
      <c r="AG72" s="17">
        <f t="shared" si="19"/>
        <v>21532.369710863659</v>
      </c>
      <c r="AH72" s="17">
        <f t="shared" si="20"/>
        <v>7286006.1631108113</v>
      </c>
      <c r="AI72" s="17">
        <f t="shared" si="21"/>
        <v>579661063.63981557</v>
      </c>
      <c r="AJ72" s="17">
        <f>+AB72*F72</f>
        <v>33197141.738286804</v>
      </c>
      <c r="AK72" s="17">
        <f t="shared" si="22"/>
        <v>546463921.90152872</v>
      </c>
      <c r="AL72" s="17">
        <f t="shared" si="23"/>
        <v>25911135.575175993</v>
      </c>
      <c r="AM72" s="16">
        <f>-F72</f>
        <v>-70379.532695807371</v>
      </c>
      <c r="AN72" s="16">
        <f t="shared" si="24"/>
        <v>-33197141.738286804</v>
      </c>
      <c r="AQ72" s="2">
        <v>48</v>
      </c>
      <c r="AR72" s="20">
        <v>458.51026634998732</v>
      </c>
      <c r="AS72" s="19">
        <f t="shared" si="25"/>
        <v>4.674884619457309E-3</v>
      </c>
      <c r="AT72" s="17">
        <f t="shared" si="26"/>
        <v>556408740.64136231</v>
      </c>
      <c r="AU72" s="17">
        <f t="shared" si="27"/>
        <v>4436881.4337437162</v>
      </c>
      <c r="AV72" s="17">
        <f t="shared" si="28"/>
        <v>2601146.6637559156</v>
      </c>
      <c r="AW72" s="17">
        <f t="shared" si="29"/>
        <v>20741.908772964194</v>
      </c>
      <c r="AX72" s="17">
        <f t="shared" si="30"/>
        <v>7058770.0062725954</v>
      </c>
      <c r="AY72" s="17">
        <f t="shared" si="31"/>
        <v>563467510.64763486</v>
      </c>
      <c r="AZ72" s="17">
        <f>+AR72*F72</f>
        <v>32269738.281942278</v>
      </c>
      <c r="BA72" s="17">
        <f t="shared" si="32"/>
        <v>531197772.36569262</v>
      </c>
      <c r="BB72" s="17">
        <f t="shared" si="33"/>
        <v>25210968.275669683</v>
      </c>
      <c r="BC72" s="16">
        <f t="shared" si="34"/>
        <v>-25024879.503908876</v>
      </c>
      <c r="BD72" s="16">
        <f t="shared" si="35"/>
        <v>-32269738.281942278</v>
      </c>
    </row>
    <row r="73" spans="2:56" x14ac:dyDescent="0.35">
      <c r="B73" s="2">
        <v>49</v>
      </c>
      <c r="C73" s="17">
        <f t="shared" si="40"/>
        <v>1158529.7240874029</v>
      </c>
      <c r="D73" s="18">
        <f t="shared" si="1"/>
        <v>9238.2787109320834</v>
      </c>
      <c r="E73" s="17">
        <f t="shared" si="41"/>
        <v>1167768.0027983349</v>
      </c>
      <c r="F73" s="18">
        <f t="shared" si="42"/>
        <v>20379.532695807367</v>
      </c>
      <c r="G73" s="17">
        <f t="shared" si="43"/>
        <v>1147388.4701025276</v>
      </c>
      <c r="H73" s="17">
        <f t="shared" si="44"/>
        <v>11141.253984875284</v>
      </c>
      <c r="I73" s="16"/>
      <c r="J73" s="16"/>
      <c r="K73" s="2">
        <v>49</v>
      </c>
      <c r="L73" s="2">
        <v>441.31810917821332</v>
      </c>
      <c r="M73" s="19">
        <f t="shared" si="5"/>
        <v>3.0980300834486663E-3</v>
      </c>
      <c r="N73" s="17">
        <f t="shared" si="6"/>
        <v>509701077.98783648</v>
      </c>
      <c r="O73" s="17">
        <f t="shared" si="7"/>
        <v>4064427.9726386373</v>
      </c>
      <c r="P73" s="17">
        <f t="shared" si="8"/>
        <v>1579069.2731725322</v>
      </c>
      <c r="Q73" s="17">
        <f t="shared" si="9"/>
        <v>12591.720131244771</v>
      </c>
      <c r="R73" s="17">
        <f t="shared" si="10"/>
        <v>5656088.9659424145</v>
      </c>
      <c r="S73" s="17">
        <f t="shared" si="11"/>
        <v>515357166.95377892</v>
      </c>
      <c r="T73" s="17">
        <f>+F73*L73</f>
        <v>8993856.8352492843</v>
      </c>
      <c r="U73" s="17">
        <f t="shared" si="12"/>
        <v>506363310.11852962</v>
      </c>
      <c r="V73" s="17">
        <f t="shared" si="13"/>
        <v>3337767.8693068698</v>
      </c>
      <c r="W73" s="16">
        <f>-F73</f>
        <v>-20379.532695807367</v>
      </c>
      <c r="X73" s="16">
        <f t="shared" si="14"/>
        <v>-8993856.8352492843</v>
      </c>
      <c r="Y73" s="16"/>
      <c r="Z73" s="16"/>
      <c r="AA73" s="2">
        <v>49</v>
      </c>
      <c r="AB73" s="20">
        <v>473.91270598733718</v>
      </c>
      <c r="AC73" s="19">
        <f t="shared" si="15"/>
        <v>4.7176666275130508E-3</v>
      </c>
      <c r="AD73" s="17">
        <f t="shared" si="16"/>
        <v>546463921.90152872</v>
      </c>
      <c r="AE73" s="17">
        <f t="shared" si="17"/>
        <v>4357580.0525722895</v>
      </c>
      <c r="AF73" s="17">
        <f t="shared" si="18"/>
        <v>2578034.6074947403</v>
      </c>
      <c r="AG73" s="17">
        <f t="shared" si="19"/>
        <v>20557.609990736855</v>
      </c>
      <c r="AH73" s="17">
        <f t="shared" si="20"/>
        <v>6956172.2700577658</v>
      </c>
      <c r="AI73" s="17">
        <f t="shared" si="21"/>
        <v>553420094.17158651</v>
      </c>
      <c r="AJ73" s="17">
        <f>+AB73*F73</f>
        <v>9658119.4866274819</v>
      </c>
      <c r="AK73" s="17">
        <f t="shared" si="22"/>
        <v>543761974.68495905</v>
      </c>
      <c r="AL73" s="17">
        <f t="shared" si="23"/>
        <v>2701947.2165697161</v>
      </c>
      <c r="AM73" s="16">
        <f>-F73</f>
        <v>-20379.532695807367</v>
      </c>
      <c r="AN73" s="16">
        <f t="shared" si="24"/>
        <v>-9658119.4866274819</v>
      </c>
      <c r="AQ73" s="2">
        <v>49</v>
      </c>
      <c r="AR73" s="20">
        <v>460.01441728177042</v>
      </c>
      <c r="AS73" s="19">
        <f t="shared" si="25"/>
        <v>3.2805174544008331E-3</v>
      </c>
      <c r="AT73" s="17">
        <f t="shared" si="26"/>
        <v>531197772.36569262</v>
      </c>
      <c r="AU73" s="17">
        <f t="shared" si="27"/>
        <v>4235845.6323648887</v>
      </c>
      <c r="AV73" s="17">
        <f t="shared" si="28"/>
        <v>1742603.5639844951</v>
      </c>
      <c r="AW73" s="17">
        <f t="shared" si="29"/>
        <v>13895.765531120551</v>
      </c>
      <c r="AX73" s="17">
        <f t="shared" si="30"/>
        <v>5992344.9618805051</v>
      </c>
      <c r="AY73" s="17">
        <f t="shared" si="31"/>
        <v>537190117.32757306</v>
      </c>
      <c r="AZ73" s="17">
        <f>+AR73*F73</f>
        <v>9374878.8575366139</v>
      </c>
      <c r="BA73" s="17">
        <f t="shared" si="32"/>
        <v>527815238.47003645</v>
      </c>
      <c r="BB73" s="17">
        <f t="shared" si="33"/>
        <v>3382533.8956561089</v>
      </c>
      <c r="BC73" s="16">
        <f t="shared" si="34"/>
        <v>-3337767.8693068698</v>
      </c>
      <c r="BD73" s="16">
        <f t="shared" si="35"/>
        <v>-9374878.8575366139</v>
      </c>
    </row>
    <row r="74" spans="2:56" x14ac:dyDescent="0.35">
      <c r="B74" s="2">
        <v>50</v>
      </c>
      <c r="C74" s="17">
        <f t="shared" si="40"/>
        <v>1147388.4701025276</v>
      </c>
      <c r="D74" s="18">
        <f t="shared" si="1"/>
        <v>9149.4367871026043</v>
      </c>
      <c r="E74" s="17">
        <f t="shared" si="41"/>
        <v>1156537.9068896302</v>
      </c>
      <c r="F74" s="18">
        <f t="shared" si="42"/>
        <v>20379.532695807367</v>
      </c>
      <c r="G74" s="17">
        <f t="shared" si="43"/>
        <v>1136158.374193823</v>
      </c>
      <c r="H74" s="17">
        <f t="shared" si="44"/>
        <v>11230.095908704763</v>
      </c>
      <c r="I74" s="16"/>
      <c r="J74" s="16"/>
      <c r="K74" s="2">
        <v>50</v>
      </c>
      <c r="L74" s="2">
        <v>442.68108890517061</v>
      </c>
      <c r="M74" s="19">
        <f t="shared" si="5"/>
        <v>3.0884291820594267E-3</v>
      </c>
      <c r="N74" s="17">
        <f t="shared" si="6"/>
        <v>506363310.11852962</v>
      </c>
      <c r="O74" s="17">
        <f t="shared" si="7"/>
        <v>4037812.1429297016</v>
      </c>
      <c r="P74" s="17">
        <f t="shared" si="8"/>
        <v>1563867.2236942742</v>
      </c>
      <c r="Q74" s="17">
        <f t="shared" si="9"/>
        <v>12470.496853897999</v>
      </c>
      <c r="R74" s="17">
        <f t="shared" si="10"/>
        <v>5614149.8634778736</v>
      </c>
      <c r="S74" s="17">
        <f t="shared" si="11"/>
        <v>511977459.9820075</v>
      </c>
      <c r="T74" s="17">
        <f>+F74*L74</f>
        <v>9021633.7251585331</v>
      </c>
      <c r="U74" s="17">
        <f t="shared" si="12"/>
        <v>502955826.25684899</v>
      </c>
      <c r="V74" s="17">
        <f t="shared" si="13"/>
        <v>3407483.8616806595</v>
      </c>
      <c r="W74" s="16">
        <f>-F74</f>
        <v>-20379.532695807367</v>
      </c>
      <c r="X74" s="16">
        <f t="shared" si="14"/>
        <v>-9021633.7251585331</v>
      </c>
      <c r="Y74" s="16"/>
      <c r="Z74" s="16"/>
      <c r="AA74" s="2">
        <v>50</v>
      </c>
      <c r="AB74" s="20">
        <v>476.1484681447281</v>
      </c>
      <c r="AC74" s="19">
        <f t="shared" si="15"/>
        <v>4.7176666275132728E-3</v>
      </c>
      <c r="AD74" s="17">
        <f t="shared" si="16"/>
        <v>543761974.68495905</v>
      </c>
      <c r="AE74" s="17">
        <f t="shared" si="17"/>
        <v>4336034.3460358772</v>
      </c>
      <c r="AF74" s="17">
        <f t="shared" si="18"/>
        <v>2565287.7212819485</v>
      </c>
      <c r="AG74" s="17">
        <f t="shared" si="19"/>
        <v>20455.964530044796</v>
      </c>
      <c r="AH74" s="17">
        <f t="shared" si="20"/>
        <v>6921778.0318478709</v>
      </c>
      <c r="AI74" s="17">
        <f t="shared" si="21"/>
        <v>550683752.71680689</v>
      </c>
      <c r="AJ74" s="17">
        <f>+AB74*F74</f>
        <v>9703683.2746140789</v>
      </c>
      <c r="AK74" s="17">
        <f t="shared" si="22"/>
        <v>540980069.44219279</v>
      </c>
      <c r="AL74" s="17">
        <f t="shared" si="23"/>
        <v>2781905.242766208</v>
      </c>
      <c r="AM74" s="16">
        <f>-F74</f>
        <v>-20379.532695807367</v>
      </c>
      <c r="AN74" s="16">
        <f t="shared" si="24"/>
        <v>-9703683.2746140789</v>
      </c>
      <c r="AQ74" s="2">
        <v>50</v>
      </c>
      <c r="AR74" s="20">
        <v>460.83459803588812</v>
      </c>
      <c r="AS74" s="19">
        <f t="shared" si="25"/>
        <v>1.7829457584486175E-3</v>
      </c>
      <c r="AT74" s="17">
        <f t="shared" si="26"/>
        <v>527815238.47003645</v>
      </c>
      <c r="AU74" s="17">
        <f t="shared" si="27"/>
        <v>4208872.8320753993</v>
      </c>
      <c r="AV74" s="17">
        <f t="shared" si="28"/>
        <v>941065.94067469705</v>
      </c>
      <c r="AW74" s="17">
        <f t="shared" si="29"/>
        <v>7504.1919637984538</v>
      </c>
      <c r="AX74" s="17">
        <f t="shared" si="30"/>
        <v>5157442.9647138948</v>
      </c>
      <c r="AY74" s="17">
        <f t="shared" si="31"/>
        <v>532972681.43475032</v>
      </c>
      <c r="AZ74" s="17">
        <f>+AR74*F74</f>
        <v>9391593.7580316272</v>
      </c>
      <c r="BA74" s="17">
        <f t="shared" si="32"/>
        <v>523581087.67671871</v>
      </c>
      <c r="BB74" s="17">
        <f t="shared" si="33"/>
        <v>4234150.7933177324</v>
      </c>
      <c r="BC74" s="16">
        <f t="shared" si="34"/>
        <v>-3407483.8616806595</v>
      </c>
      <c r="BD74" s="16">
        <f t="shared" si="35"/>
        <v>-9391593.7580316272</v>
      </c>
    </row>
    <row r="75" spans="2:56" x14ac:dyDescent="0.35">
      <c r="B75" s="2">
        <v>51</v>
      </c>
      <c r="C75" s="17">
        <f t="shared" si="40"/>
        <v>1136158.374193823</v>
      </c>
      <c r="D75" s="18">
        <f t="shared" si="1"/>
        <v>9059.8864252965341</v>
      </c>
      <c r="E75" s="17">
        <f t="shared" si="41"/>
        <v>1145218.2606191195</v>
      </c>
      <c r="F75" s="18">
        <f t="shared" si="42"/>
        <v>20379.532695807367</v>
      </c>
      <c r="G75" s="17">
        <f t="shared" si="43"/>
        <v>1124838.7279233122</v>
      </c>
      <c r="H75" s="17">
        <f t="shared" si="44"/>
        <v>11319.646270510833</v>
      </c>
      <c r="I75" s="16"/>
      <c r="J75" s="16"/>
      <c r="K75" s="2">
        <v>51</v>
      </c>
      <c r="L75" s="2">
        <v>444.04408036284019</v>
      </c>
      <c r="M75" s="19">
        <f t="shared" si="5"/>
        <v>3.078946654442527E-3</v>
      </c>
      <c r="N75" s="17">
        <f t="shared" si="6"/>
        <v>502955826.25684899</v>
      </c>
      <c r="O75" s="17">
        <f t="shared" si="7"/>
        <v>4010640.3881074372</v>
      </c>
      <c r="P75" s="17">
        <f t="shared" si="8"/>
        <v>1548574.1585859021</v>
      </c>
      <c r="Q75" s="17">
        <f t="shared" si="9"/>
        <v>12348.547805135471</v>
      </c>
      <c r="R75" s="17">
        <f t="shared" si="10"/>
        <v>5571563.0944984751</v>
      </c>
      <c r="S75" s="17">
        <f t="shared" si="11"/>
        <v>508527389.35134745</v>
      </c>
      <c r="T75" s="17">
        <f>+F75*L75</f>
        <v>9049410.854134215</v>
      </c>
      <c r="U75" s="17">
        <f t="shared" si="12"/>
        <v>499477978.49721324</v>
      </c>
      <c r="V75" s="17">
        <f t="shared" si="13"/>
        <v>3477847.75963574</v>
      </c>
      <c r="W75" s="16">
        <f>-F75</f>
        <v>-20379.532695807367</v>
      </c>
      <c r="X75" s="16">
        <f t="shared" si="14"/>
        <v>-9049410.854134215</v>
      </c>
      <c r="Y75" s="16"/>
      <c r="Z75" s="16"/>
      <c r="AA75" s="2">
        <v>51</v>
      </c>
      <c r="AB75" s="20">
        <v>478.39477788263622</v>
      </c>
      <c r="AC75" s="19">
        <f t="shared" si="15"/>
        <v>4.7176666275137169E-3</v>
      </c>
      <c r="AD75" s="17">
        <f t="shared" si="16"/>
        <v>540980069.44219279</v>
      </c>
      <c r="AE75" s="17">
        <f t="shared" si="17"/>
        <v>4313851.0429701554</v>
      </c>
      <c r="AF75" s="17">
        <f t="shared" si="18"/>
        <v>2552163.619757486</v>
      </c>
      <c r="AG75" s="17">
        <f t="shared" si="19"/>
        <v>20351.311101485542</v>
      </c>
      <c r="AH75" s="17">
        <f t="shared" si="20"/>
        <v>6886365.9738291278</v>
      </c>
      <c r="AI75" s="17">
        <f t="shared" si="21"/>
        <v>547866435.41602194</v>
      </c>
      <c r="AJ75" s="17">
        <f>+AB75*F75</f>
        <v>9749462.0173626877</v>
      </c>
      <c r="AK75" s="17">
        <f t="shared" si="22"/>
        <v>538116973.39865923</v>
      </c>
      <c r="AL75" s="17">
        <f t="shared" si="23"/>
        <v>2863096.0435335599</v>
      </c>
      <c r="AM75" s="16">
        <f>-F75</f>
        <v>-20379.532695807367</v>
      </c>
      <c r="AN75" s="16">
        <f t="shared" si="24"/>
        <v>-9749462.0173626877</v>
      </c>
      <c r="AQ75" s="2">
        <v>51</v>
      </c>
      <c r="AR75" s="20">
        <v>461.45832229684402</v>
      </c>
      <c r="AS75" s="19">
        <f t="shared" si="25"/>
        <v>1.3534666529255723E-3</v>
      </c>
      <c r="AT75" s="17">
        <f t="shared" si="26"/>
        <v>523581087.67671871</v>
      </c>
      <c r="AU75" s="17">
        <f t="shared" si="27"/>
        <v>4175109.1190523291</v>
      </c>
      <c r="AV75" s="17">
        <f t="shared" si="28"/>
        <v>708649.54227293911</v>
      </c>
      <c r="AW75" s="17">
        <f t="shared" si="29"/>
        <v>5650.8709649627908</v>
      </c>
      <c r="AX75" s="17">
        <f t="shared" si="30"/>
        <v>4889409.5322902314</v>
      </c>
      <c r="AY75" s="17">
        <f t="shared" si="31"/>
        <v>528470497.20900893</v>
      </c>
      <c r="AZ75" s="17">
        <f>+AR75*F75</f>
        <v>9404304.9670009464</v>
      </c>
      <c r="BA75" s="17">
        <f t="shared" si="32"/>
        <v>519066192.24200797</v>
      </c>
      <c r="BB75" s="17">
        <f t="shared" si="33"/>
        <v>4514895.434710715</v>
      </c>
      <c r="BC75" s="16">
        <f t="shared" si="34"/>
        <v>-3477847.75963574</v>
      </c>
      <c r="BD75" s="16">
        <f t="shared" si="35"/>
        <v>-9404304.9670009464</v>
      </c>
    </row>
    <row r="76" spans="2:56" x14ac:dyDescent="0.35">
      <c r="B76" s="2">
        <v>52</v>
      </c>
      <c r="C76" s="17">
        <f t="shared" si="40"/>
        <v>1124838.7279233122</v>
      </c>
      <c r="D76" s="18">
        <f t="shared" si="1"/>
        <v>8969.621976329965</v>
      </c>
      <c r="E76" s="17">
        <f t="shared" si="41"/>
        <v>1133808.3498996422</v>
      </c>
      <c r="F76" s="18">
        <f t="shared" si="42"/>
        <v>20379.532695807367</v>
      </c>
      <c r="G76" s="17">
        <f t="shared" si="43"/>
        <v>1113428.8172038349</v>
      </c>
      <c r="H76" s="17">
        <f t="shared" si="44"/>
        <v>11409.910719477402</v>
      </c>
      <c r="I76" s="16"/>
      <c r="J76" s="16"/>
      <c r="K76" s="2">
        <v>52</v>
      </c>
      <c r="L76" s="2">
        <v>445.40706308122691</v>
      </c>
      <c r="M76" s="19">
        <f t="shared" si="5"/>
        <v>3.0694761593781372E-3</v>
      </c>
      <c r="N76" s="17">
        <f t="shared" si="6"/>
        <v>499477978.49721324</v>
      </c>
      <c r="O76" s="17">
        <f t="shared" si="7"/>
        <v>3982907.541681753</v>
      </c>
      <c r="P76" s="17">
        <f t="shared" si="8"/>
        <v>1533135.7471315819</v>
      </c>
      <c r="Q76" s="17">
        <f t="shared" si="9"/>
        <v>12225.439744199526</v>
      </c>
      <c r="R76" s="17">
        <f t="shared" si="10"/>
        <v>5528268.7285575345</v>
      </c>
      <c r="S76" s="17">
        <f t="shared" si="11"/>
        <v>505006247.22577077</v>
      </c>
      <c r="T76" s="17">
        <f>+F76*L76</f>
        <v>9077187.8050073981</v>
      </c>
      <c r="U76" s="17">
        <f t="shared" si="12"/>
        <v>495929059.42076337</v>
      </c>
      <c r="V76" s="17">
        <f t="shared" si="13"/>
        <v>3548919.0764498636</v>
      </c>
      <c r="W76" s="16">
        <f>-F76</f>
        <v>-20379.532695807367</v>
      </c>
      <c r="X76" s="16">
        <f t="shared" si="14"/>
        <v>-9077187.8050073981</v>
      </c>
      <c r="Y76" s="16"/>
      <c r="Z76" s="16"/>
      <c r="AA76" s="2">
        <v>52</v>
      </c>
      <c r="AB76" s="20">
        <v>480.65168496102967</v>
      </c>
      <c r="AC76" s="19">
        <f t="shared" si="15"/>
        <v>4.7176666275130508E-3</v>
      </c>
      <c r="AD76" s="17">
        <f t="shared" si="16"/>
        <v>538116973.39865923</v>
      </c>
      <c r="AE76" s="17">
        <f t="shared" si="17"/>
        <v>4291020.31305758</v>
      </c>
      <c r="AF76" s="17">
        <f t="shared" si="18"/>
        <v>2538656.4871011828</v>
      </c>
      <c r="AG76" s="17">
        <f t="shared" si="19"/>
        <v>20243.60332889235</v>
      </c>
      <c r="AH76" s="17">
        <f t="shared" si="20"/>
        <v>6849920.4034876544</v>
      </c>
      <c r="AI76" s="17">
        <f t="shared" si="21"/>
        <v>544966893.80214691</v>
      </c>
      <c r="AJ76" s="17">
        <f>+AB76*F76</f>
        <v>9795456.7289582063</v>
      </c>
      <c r="AK76" s="17">
        <f t="shared" si="22"/>
        <v>535171437.07318872</v>
      </c>
      <c r="AL76" s="17">
        <f t="shared" si="23"/>
        <v>2945536.3254705518</v>
      </c>
      <c r="AM76" s="16">
        <f>-F76</f>
        <v>-20379.532695807367</v>
      </c>
      <c r="AN76" s="16">
        <f t="shared" si="24"/>
        <v>-9795456.7289582063</v>
      </c>
      <c r="AQ76" s="2">
        <v>52</v>
      </c>
      <c r="AR76" s="20">
        <v>462.88763616768898</v>
      </c>
      <c r="AS76" s="19">
        <f t="shared" si="25"/>
        <v>3.0973845346005113E-3</v>
      </c>
      <c r="AT76" s="17">
        <f t="shared" si="26"/>
        <v>519066192.24200797</v>
      </c>
      <c r="AU76" s="17">
        <f t="shared" si="27"/>
        <v>4139106.7088341294</v>
      </c>
      <c r="AV76" s="17">
        <f t="shared" si="28"/>
        <v>1607747.5962843713</v>
      </c>
      <c r="AW76" s="17">
        <f t="shared" si="29"/>
        <v>12820.405107004053</v>
      </c>
      <c r="AX76" s="17">
        <f t="shared" si="30"/>
        <v>5759674.7102255048</v>
      </c>
      <c r="AY76" s="17">
        <f t="shared" si="31"/>
        <v>524825866.95223349</v>
      </c>
      <c r="AZ76" s="17">
        <f>+AR76*F76</f>
        <v>9433433.7157644033</v>
      </c>
      <c r="BA76" s="17">
        <f t="shared" si="32"/>
        <v>515392433.23646909</v>
      </c>
      <c r="BB76" s="17">
        <f t="shared" si="33"/>
        <v>3673759.0055388985</v>
      </c>
      <c r="BC76" s="16">
        <f t="shared" si="34"/>
        <v>-3548919.0764498636</v>
      </c>
      <c r="BD76" s="16">
        <f t="shared" si="35"/>
        <v>-9433433.7157644033</v>
      </c>
    </row>
    <row r="77" spans="2:56" x14ac:dyDescent="0.35">
      <c r="B77" s="2">
        <v>53</v>
      </c>
      <c r="C77" s="17">
        <f t="shared" si="40"/>
        <v>1113428.8172038349</v>
      </c>
      <c r="D77" s="18">
        <f t="shared" si="1"/>
        <v>8878.6377459715986</v>
      </c>
      <c r="E77" s="17">
        <f t="shared" si="41"/>
        <v>1122307.4549498064</v>
      </c>
      <c r="F77" s="18">
        <f t="shared" si="42"/>
        <v>20379.532695807367</v>
      </c>
      <c r="G77" s="17">
        <f t="shared" si="43"/>
        <v>1101927.9222539992</v>
      </c>
      <c r="H77" s="17">
        <f t="shared" si="44"/>
        <v>11500.894949835769</v>
      </c>
      <c r="I77" s="16"/>
      <c r="J77" s="16"/>
      <c r="K77" s="2">
        <v>53</v>
      </c>
      <c r="L77" s="2">
        <v>446.77005165746891</v>
      </c>
      <c r="M77" s="19">
        <f t="shared" si="5"/>
        <v>3.0600964583120671E-3</v>
      </c>
      <c r="N77" s="17">
        <f t="shared" si="6"/>
        <v>495929059.42076337</v>
      </c>
      <c r="O77" s="17">
        <f t="shared" si="7"/>
        <v>3954607.9625953264</v>
      </c>
      <c r="P77" s="17">
        <f t="shared" si="8"/>
        <v>1517590.7583075126</v>
      </c>
      <c r="Q77" s="17">
        <f t="shared" si="9"/>
        <v>12101.481820350658</v>
      </c>
      <c r="R77" s="17">
        <f t="shared" si="10"/>
        <v>5484300.2027231893</v>
      </c>
      <c r="S77" s="17">
        <f t="shared" si="11"/>
        <v>501413359.62348658</v>
      </c>
      <c r="T77" s="17">
        <f>+F77*L77</f>
        <v>9104964.8752609342</v>
      </c>
      <c r="U77" s="17">
        <f t="shared" si="12"/>
        <v>492308394.74822563</v>
      </c>
      <c r="V77" s="17">
        <f t="shared" si="13"/>
        <v>3620664.672537745</v>
      </c>
      <c r="W77" s="16">
        <f>-F77</f>
        <v>-20379.532695807367</v>
      </c>
      <c r="X77" s="16">
        <f t="shared" si="14"/>
        <v>-9104964.8752609342</v>
      </c>
      <c r="Y77" s="16"/>
      <c r="Z77" s="16"/>
      <c r="AA77" s="2">
        <v>53</v>
      </c>
      <c r="AB77" s="20">
        <v>482.91923937462832</v>
      </c>
      <c r="AC77" s="19">
        <f t="shared" si="15"/>
        <v>4.7176666275132728E-3</v>
      </c>
      <c r="AD77" s="17">
        <f t="shared" si="16"/>
        <v>535171437.07318872</v>
      </c>
      <c r="AE77" s="17">
        <f t="shared" si="17"/>
        <v>4267532.1927598407</v>
      </c>
      <c r="AF77" s="17">
        <f t="shared" si="18"/>
        <v>2524760.4286785019</v>
      </c>
      <c r="AG77" s="17">
        <f t="shared" si="19"/>
        <v>20132.794207621639</v>
      </c>
      <c r="AH77" s="17">
        <f t="shared" si="20"/>
        <v>6812425.4156459644</v>
      </c>
      <c r="AI77" s="17">
        <f t="shared" si="21"/>
        <v>541983862.48883474</v>
      </c>
      <c r="AJ77" s="17">
        <f>+AB77*F77</f>
        <v>9841668.428269662</v>
      </c>
      <c r="AK77" s="17">
        <f t="shared" si="22"/>
        <v>532142194.06056505</v>
      </c>
      <c r="AL77" s="17">
        <f t="shared" si="23"/>
        <v>3029243.0126236975</v>
      </c>
      <c r="AM77" s="16">
        <f>-F77</f>
        <v>-20379.532695807367</v>
      </c>
      <c r="AN77" s="16">
        <f t="shared" si="24"/>
        <v>-9841668.428269662</v>
      </c>
      <c r="AQ77" s="2">
        <v>53</v>
      </c>
      <c r="AR77" s="20">
        <v>466.20436155716339</v>
      </c>
      <c r="AS77" s="19">
        <f t="shared" si="25"/>
        <v>7.1652926764993463E-3</v>
      </c>
      <c r="AT77" s="17">
        <f t="shared" si="26"/>
        <v>515392433.23646909</v>
      </c>
      <c r="AU77" s="17">
        <f t="shared" si="27"/>
        <v>4109811.6386220125</v>
      </c>
      <c r="AV77" s="17">
        <f t="shared" si="28"/>
        <v>3692937.6273924503</v>
      </c>
      <c r="AW77" s="17">
        <f t="shared" si="29"/>
        <v>29448.003236010085</v>
      </c>
      <c r="AX77" s="17">
        <f t="shared" si="30"/>
        <v>7832197.269250473</v>
      </c>
      <c r="AY77" s="17">
        <f t="shared" si="31"/>
        <v>523224630.50571954</v>
      </c>
      <c r="AZ77" s="17">
        <f>+AR77*F77</f>
        <v>9501027.0292822104</v>
      </c>
      <c r="BA77" s="17">
        <f t="shared" si="32"/>
        <v>513723603.47643733</v>
      </c>
      <c r="BB77" s="17">
        <f t="shared" si="33"/>
        <v>1668829.7600317374</v>
      </c>
      <c r="BC77" s="16">
        <f t="shared" si="34"/>
        <v>-3620664.672537745</v>
      </c>
      <c r="BD77" s="16">
        <f t="shared" si="35"/>
        <v>-9501027.0292822104</v>
      </c>
    </row>
    <row r="78" spans="2:56" x14ac:dyDescent="0.35">
      <c r="B78" s="2">
        <v>54</v>
      </c>
      <c r="C78" s="17">
        <f t="shared" si="40"/>
        <v>1101927.9222539992</v>
      </c>
      <c r="D78" s="18">
        <f t="shared" si="1"/>
        <v>8786.9279945835387</v>
      </c>
      <c r="E78" s="17">
        <f t="shared" si="41"/>
        <v>1110714.8502485827</v>
      </c>
      <c r="F78" s="18">
        <f t="shared" si="42"/>
        <v>20379.532695807367</v>
      </c>
      <c r="G78" s="17">
        <f t="shared" si="43"/>
        <v>1090335.3175527754</v>
      </c>
      <c r="H78" s="17">
        <f t="shared" si="44"/>
        <v>11592.604701223829</v>
      </c>
      <c r="I78" s="16"/>
      <c r="J78" s="16"/>
      <c r="K78" s="2">
        <v>54</v>
      </c>
      <c r="L78" s="2">
        <v>448.13303690190497</v>
      </c>
      <c r="M78" s="19">
        <f t="shared" si="5"/>
        <v>3.0507533783419305E-3</v>
      </c>
      <c r="N78" s="17">
        <f t="shared" si="6"/>
        <v>492308394.74822563</v>
      </c>
      <c r="O78" s="17">
        <f t="shared" si="7"/>
        <v>3925736.2740505398</v>
      </c>
      <c r="P78" s="17">
        <f t="shared" si="8"/>
        <v>1501911.4984642421</v>
      </c>
      <c r="Q78" s="17">
        <f t="shared" si="9"/>
        <v>11976.453200539147</v>
      </c>
      <c r="R78" s="17">
        <f t="shared" si="10"/>
        <v>5439624.2257153206</v>
      </c>
      <c r="S78" s="17">
        <f t="shared" si="11"/>
        <v>497748018.97394097</v>
      </c>
      <c r="T78" s="17">
        <f>+F78*L78</f>
        <v>9132741.877613822</v>
      </c>
      <c r="U78" s="17">
        <f t="shared" si="12"/>
        <v>488615277.09632713</v>
      </c>
      <c r="V78" s="17">
        <f t="shared" si="13"/>
        <v>3693117.6518985014</v>
      </c>
      <c r="W78" s="16">
        <f>-F78</f>
        <v>-20379.532695807367</v>
      </c>
      <c r="X78" s="16">
        <f t="shared" si="14"/>
        <v>-9132741.877613822</v>
      </c>
      <c r="Y78" s="16"/>
      <c r="Z78" s="16"/>
      <c r="AA78" s="2">
        <v>54</v>
      </c>
      <c r="AB78" s="20">
        <v>485.19749135401008</v>
      </c>
      <c r="AC78" s="19">
        <f t="shared" si="15"/>
        <v>4.7176666275132728E-3</v>
      </c>
      <c r="AD78" s="17">
        <f t="shared" si="16"/>
        <v>532142194.06056505</v>
      </c>
      <c r="AE78" s="17">
        <f t="shared" si="17"/>
        <v>4243376.5835839044</v>
      </c>
      <c r="AF78" s="17">
        <f t="shared" si="18"/>
        <v>2510469.4700112194</v>
      </c>
      <c r="AG78" s="17">
        <f t="shared" si="19"/>
        <v>20018.836096345072</v>
      </c>
      <c r="AH78" s="17">
        <f t="shared" si="20"/>
        <v>6773864.8896914693</v>
      </c>
      <c r="AI78" s="17">
        <f t="shared" si="21"/>
        <v>538916058.95025647</v>
      </c>
      <c r="AJ78" s="17">
        <f>+AB78*F78</f>
        <v>9888098.1389727611</v>
      </c>
      <c r="AK78" s="17">
        <f t="shared" si="22"/>
        <v>529027960.81128371</v>
      </c>
      <c r="AL78" s="17">
        <f t="shared" si="23"/>
        <v>3114233.2492812918</v>
      </c>
      <c r="AM78" s="16">
        <f>-F78</f>
        <v>-20379.532695807367</v>
      </c>
      <c r="AN78" s="16">
        <f t="shared" si="24"/>
        <v>-9888098.1389727611</v>
      </c>
      <c r="AQ78" s="2">
        <v>54</v>
      </c>
      <c r="AR78" s="20">
        <v>468.99560797518768</v>
      </c>
      <c r="AS78" s="19">
        <f t="shared" si="25"/>
        <v>5.9871735405934157E-3</v>
      </c>
      <c r="AT78" s="17">
        <f t="shared" si="26"/>
        <v>513723603.47643733</v>
      </c>
      <c r="AU78" s="17">
        <f t="shared" si="27"/>
        <v>4096504.1557635851</v>
      </c>
      <c r="AV78" s="17">
        <f t="shared" si="28"/>
        <v>3075752.3659124291</v>
      </c>
      <c r="AW78" s="17">
        <f t="shared" si="29"/>
        <v>24526.481290318705</v>
      </c>
      <c r="AX78" s="17">
        <f t="shared" si="30"/>
        <v>7196783.0029663332</v>
      </c>
      <c r="AY78" s="17">
        <f t="shared" si="31"/>
        <v>520920386.47940367</v>
      </c>
      <c r="AZ78" s="17">
        <f>+AR78*F78</f>
        <v>9557911.326920392</v>
      </c>
      <c r="BA78" s="17">
        <f t="shared" si="32"/>
        <v>511362475.15248328</v>
      </c>
      <c r="BB78" s="17">
        <f t="shared" si="33"/>
        <v>2361128.3239540588</v>
      </c>
      <c r="BC78" s="16">
        <f t="shared" si="34"/>
        <v>-3693117.6518985014</v>
      </c>
      <c r="BD78" s="16">
        <f t="shared" si="35"/>
        <v>-9557911.326920392</v>
      </c>
    </row>
    <row r="79" spans="2:56" x14ac:dyDescent="0.35">
      <c r="B79" s="2">
        <v>55</v>
      </c>
      <c r="C79" s="17">
        <f t="shared" si="40"/>
        <v>1090335.3175527754</v>
      </c>
      <c r="D79" s="18">
        <f t="shared" si="1"/>
        <v>8694.4869367592109</v>
      </c>
      <c r="E79" s="17">
        <f t="shared" si="41"/>
        <v>1099029.8044895346</v>
      </c>
      <c r="F79" s="18">
        <f t="shared" si="42"/>
        <v>20379.532695807367</v>
      </c>
      <c r="G79" s="17">
        <f t="shared" si="43"/>
        <v>1078650.2717937273</v>
      </c>
      <c r="H79" s="17">
        <f t="shared" si="44"/>
        <v>11685.045759048156</v>
      </c>
      <c r="I79" s="16"/>
      <c r="J79" s="16"/>
      <c r="K79" s="2">
        <v>55</v>
      </c>
      <c r="L79" s="2">
        <v>449.49602343937818</v>
      </c>
      <c r="M79" s="19">
        <f t="shared" si="5"/>
        <v>3.0414774748499518E-3</v>
      </c>
      <c r="N79" s="17">
        <f t="shared" si="6"/>
        <v>488615277.09632713</v>
      </c>
      <c r="O79" s="17">
        <f t="shared" si="7"/>
        <v>3896286.8352738377</v>
      </c>
      <c r="P79" s="17">
        <f t="shared" si="8"/>
        <v>1486112.3591560465</v>
      </c>
      <c r="Q79" s="17">
        <f t="shared" si="9"/>
        <v>11850.468645039782</v>
      </c>
      <c r="R79" s="17">
        <f t="shared" si="10"/>
        <v>5394249.6630749237</v>
      </c>
      <c r="S79" s="17">
        <f t="shared" si="11"/>
        <v>494009526.75940204</v>
      </c>
      <c r="T79" s="17">
        <f>+F79*L79</f>
        <v>9160518.9063182026</v>
      </c>
      <c r="U79" s="17">
        <f t="shared" si="12"/>
        <v>484849007.85308385</v>
      </c>
      <c r="V79" s="17">
        <f t="shared" si="13"/>
        <v>3766269.2432432789</v>
      </c>
      <c r="W79" s="16">
        <f>-F79</f>
        <v>-20379.532695807367</v>
      </c>
      <c r="X79" s="16">
        <f t="shared" si="14"/>
        <v>-9160518.9063182026</v>
      </c>
      <c r="Y79" s="16"/>
      <c r="Z79" s="16"/>
      <c r="AA79" s="2">
        <v>55</v>
      </c>
      <c r="AB79" s="20">
        <v>487.48649136672412</v>
      </c>
      <c r="AC79" s="19">
        <f t="shared" si="15"/>
        <v>4.7176666275134949E-3</v>
      </c>
      <c r="AD79" s="17">
        <f t="shared" si="16"/>
        <v>529027960.81128371</v>
      </c>
      <c r="AE79" s="17">
        <f t="shared" si="17"/>
        <v>4218543.2503257738</v>
      </c>
      <c r="AF79" s="17">
        <f t="shared" si="18"/>
        <v>2495777.5557409101</v>
      </c>
      <c r="AG79" s="17">
        <f t="shared" si="19"/>
        <v>19901.68070878421</v>
      </c>
      <c r="AH79" s="17">
        <f t="shared" si="20"/>
        <v>6734222.486775469</v>
      </c>
      <c r="AI79" s="17">
        <f t="shared" si="21"/>
        <v>535762183.29805917</v>
      </c>
      <c r="AJ79" s="17">
        <f>+AB79*F79</f>
        <v>9934746.8895725701</v>
      </c>
      <c r="AK79" s="17">
        <f t="shared" si="22"/>
        <v>525827436.4084866</v>
      </c>
      <c r="AL79" s="17">
        <f t="shared" si="23"/>
        <v>3200524.4027971011</v>
      </c>
      <c r="AM79" s="16">
        <f>-F79</f>
        <v>-20379.532695807367</v>
      </c>
      <c r="AN79" s="16">
        <f t="shared" si="24"/>
        <v>-9934746.8895725701</v>
      </c>
      <c r="AQ79" s="2">
        <v>55</v>
      </c>
      <c r="AR79" s="20">
        <v>471.39663967316278</v>
      </c>
      <c r="AS79" s="19">
        <f t="shared" si="25"/>
        <v>5.1195185139176758E-3</v>
      </c>
      <c r="AT79" s="17">
        <f t="shared" si="26"/>
        <v>511362475.15248328</v>
      </c>
      <c r="AU79" s="17">
        <f t="shared" si="27"/>
        <v>4077676.1869377135</v>
      </c>
      <c r="AV79" s="17">
        <f t="shared" si="28"/>
        <v>2617929.6588659058</v>
      </c>
      <c r="AW79" s="17">
        <f t="shared" si="29"/>
        <v>20875.738732788857</v>
      </c>
      <c r="AX79" s="17">
        <f t="shared" si="30"/>
        <v>6716481.5845364081</v>
      </c>
      <c r="AY79" s="17">
        <f t="shared" si="31"/>
        <v>518078956.73701972</v>
      </c>
      <c r="AZ79" s="17">
        <f>+AR79*F79</f>
        <v>9606843.2309129462</v>
      </c>
      <c r="BA79" s="17">
        <f t="shared" si="32"/>
        <v>508472113.50610679</v>
      </c>
      <c r="BB79" s="17">
        <f t="shared" si="33"/>
        <v>2890361.6463765381</v>
      </c>
      <c r="BC79" s="16">
        <f t="shared" si="34"/>
        <v>-3766269.2432432789</v>
      </c>
      <c r="BD79" s="16">
        <f t="shared" si="35"/>
        <v>-9606843.2309129462</v>
      </c>
    </row>
    <row r="80" spans="2:56" x14ac:dyDescent="0.35">
      <c r="B80" s="2">
        <v>56</v>
      </c>
      <c r="C80" s="17">
        <f t="shared" si="40"/>
        <v>1078650.2717937273</v>
      </c>
      <c r="D80" s="18">
        <f t="shared" si="1"/>
        <v>8601.308740958395</v>
      </c>
      <c r="E80" s="17">
        <f t="shared" si="41"/>
        <v>1087251.5805346856</v>
      </c>
      <c r="F80" s="18">
        <f t="shared" si="42"/>
        <v>20379.532695807367</v>
      </c>
      <c r="G80" s="17">
        <f t="shared" si="43"/>
        <v>1066872.0478388784</v>
      </c>
      <c r="H80" s="17">
        <f t="shared" si="44"/>
        <v>11778.223954848972</v>
      </c>
      <c r="I80" s="16"/>
      <c r="J80" s="16"/>
      <c r="K80" s="2">
        <v>56</v>
      </c>
      <c r="L80" s="2">
        <v>450.85901019327582</v>
      </c>
      <c r="M80" s="19">
        <f t="shared" si="5"/>
        <v>3.032255421234975E-3</v>
      </c>
      <c r="N80" s="17">
        <f t="shared" si="6"/>
        <v>484849007.85308385</v>
      </c>
      <c r="O80" s="17">
        <f t="shared" si="7"/>
        <v>3866254.0754351546</v>
      </c>
      <c r="P80" s="17">
        <f t="shared" si="8"/>
        <v>1470186.0325429125</v>
      </c>
      <c r="Q80" s="17">
        <f t="shared" si="9"/>
        <v>11723.469880110064</v>
      </c>
      <c r="R80" s="17">
        <f t="shared" si="10"/>
        <v>5348163.577858177</v>
      </c>
      <c r="S80" s="17">
        <f t="shared" si="11"/>
        <v>490197171.430942</v>
      </c>
      <c r="T80" s="17">
        <f>+F80*L80</f>
        <v>9188295.9394332115</v>
      </c>
      <c r="U80" s="17">
        <f t="shared" si="12"/>
        <v>481008875.49150878</v>
      </c>
      <c r="V80" s="17">
        <f t="shared" si="13"/>
        <v>3840132.3615750344</v>
      </c>
      <c r="W80" s="16">
        <f>-F80</f>
        <v>-20379.532695807367</v>
      </c>
      <c r="X80" s="16">
        <f t="shared" si="14"/>
        <v>-9188295.9394332115</v>
      </c>
      <c r="Y80" s="16"/>
      <c r="Z80" s="16"/>
      <c r="AA80" s="2">
        <v>56</v>
      </c>
      <c r="AB80" s="20">
        <v>489.78629011840837</v>
      </c>
      <c r="AC80" s="19">
        <f t="shared" si="15"/>
        <v>4.7176666275130508E-3</v>
      </c>
      <c r="AD80" s="17">
        <f t="shared" si="16"/>
        <v>525827436.4084866</v>
      </c>
      <c r="AE80" s="17">
        <f t="shared" si="17"/>
        <v>4193021.819291736</v>
      </c>
      <c r="AF80" s="17">
        <f t="shared" si="18"/>
        <v>2480678.5485750581</v>
      </c>
      <c r="AG80" s="17">
        <f t="shared" si="19"/>
        <v>19781.279105306679</v>
      </c>
      <c r="AH80" s="17">
        <f t="shared" si="20"/>
        <v>6693481.6469721012</v>
      </c>
      <c r="AI80" s="17">
        <f t="shared" si="21"/>
        <v>532520918.05545872</v>
      </c>
      <c r="AJ80" s="17">
        <f>+AB80*F80</f>
        <v>9981615.7134262957</v>
      </c>
      <c r="AK80" s="17">
        <f t="shared" si="22"/>
        <v>522539302.34203243</v>
      </c>
      <c r="AL80" s="17">
        <f t="shared" si="23"/>
        <v>3288134.0664541945</v>
      </c>
      <c r="AM80" s="16">
        <f>-F80</f>
        <v>-20379.532695807367</v>
      </c>
      <c r="AN80" s="16">
        <f t="shared" si="24"/>
        <v>-9981615.7134262957</v>
      </c>
      <c r="AQ80" s="2">
        <v>56</v>
      </c>
      <c r="AR80" s="20">
        <v>473.80875351154549</v>
      </c>
      <c r="AS80" s="19">
        <f t="shared" si="25"/>
        <v>5.1169517034637124E-3</v>
      </c>
      <c r="AT80" s="17">
        <f t="shared" si="26"/>
        <v>508472113.50610679</v>
      </c>
      <c r="AU80" s="17">
        <f t="shared" si="27"/>
        <v>4054628.03727919</v>
      </c>
      <c r="AV80" s="17">
        <f t="shared" si="28"/>
        <v>2601827.2473688675</v>
      </c>
      <c r="AW80" s="17">
        <f t="shared" si="29"/>
        <v>20747.335842267479</v>
      </c>
      <c r="AX80" s="17">
        <f t="shared" si="30"/>
        <v>6677202.6204903256</v>
      </c>
      <c r="AY80" s="17">
        <f t="shared" si="31"/>
        <v>515149316.12659711</v>
      </c>
      <c r="AZ80" s="17">
        <f>+AR80*F80</f>
        <v>9656000.9837482758</v>
      </c>
      <c r="BA80" s="17">
        <f t="shared" si="32"/>
        <v>505493315.14284885</v>
      </c>
      <c r="BB80" s="17">
        <f t="shared" si="33"/>
        <v>2978798.3632579502</v>
      </c>
      <c r="BC80" s="16">
        <f t="shared" si="34"/>
        <v>-3840132.3615750344</v>
      </c>
      <c r="BD80" s="16">
        <f t="shared" si="35"/>
        <v>-9656000.9837482758</v>
      </c>
    </row>
    <row r="81" spans="2:56" x14ac:dyDescent="0.35">
      <c r="B81" s="2">
        <v>57</v>
      </c>
      <c r="C81" s="17">
        <f t="shared" si="40"/>
        <v>1066872.0478388784</v>
      </c>
      <c r="D81" s="18">
        <f t="shared" si="1"/>
        <v>8507.3875291393506</v>
      </c>
      <c r="E81" s="17">
        <f t="shared" si="41"/>
        <v>1075379.4353680178</v>
      </c>
      <c r="F81" s="18">
        <f t="shared" si="42"/>
        <v>20379.532695807367</v>
      </c>
      <c r="G81" s="17">
        <f t="shared" si="43"/>
        <v>1054999.9026722105</v>
      </c>
      <c r="H81" s="17">
        <f t="shared" si="44"/>
        <v>11872.145166668017</v>
      </c>
      <c r="I81" s="16"/>
      <c r="J81" s="16"/>
      <c r="K81" s="2">
        <v>57</v>
      </c>
      <c r="L81" s="2">
        <v>452.22199572753692</v>
      </c>
      <c r="M81" s="19">
        <f t="shared" si="5"/>
        <v>3.0230859391648934E-3</v>
      </c>
      <c r="N81" s="17">
        <f t="shared" si="6"/>
        <v>481008875.49150878</v>
      </c>
      <c r="O81" s="17">
        <f t="shared" si="7"/>
        <v>3835632.3207183774</v>
      </c>
      <c r="P81" s="17">
        <f t="shared" si="8"/>
        <v>1454131.1681118971</v>
      </c>
      <c r="Q81" s="17">
        <f t="shared" si="9"/>
        <v>11595.446136570135</v>
      </c>
      <c r="R81" s="17">
        <f t="shared" si="10"/>
        <v>5301358.9349668445</v>
      </c>
      <c r="S81" s="17">
        <f t="shared" si="11"/>
        <v>486310234.42647564</v>
      </c>
      <c r="T81" s="17">
        <f>+F81*L81</f>
        <v>9216072.9476925991</v>
      </c>
      <c r="U81" s="17">
        <f t="shared" si="12"/>
        <v>477094161.47878307</v>
      </c>
      <c r="V81" s="17">
        <f t="shared" si="13"/>
        <v>3914714.0127257546</v>
      </c>
      <c r="W81" s="16">
        <f>-F81</f>
        <v>-20379.532695807367</v>
      </c>
      <c r="X81" s="16">
        <f t="shared" si="14"/>
        <v>-9216072.9476925991</v>
      </c>
      <c r="Y81" s="16"/>
      <c r="Z81" s="16"/>
      <c r="AA81" s="2">
        <v>57</v>
      </c>
      <c r="AB81" s="20">
        <v>492.09693855391362</v>
      </c>
      <c r="AC81" s="19">
        <f t="shared" si="15"/>
        <v>4.7176666275134949E-3</v>
      </c>
      <c r="AD81" s="17">
        <f t="shared" si="16"/>
        <v>522539302.34203243</v>
      </c>
      <c r="AE81" s="17">
        <f t="shared" si="17"/>
        <v>4166801.7764967685</v>
      </c>
      <c r="AF81" s="17">
        <f t="shared" si="18"/>
        <v>2465166.2282231906</v>
      </c>
      <c r="AG81" s="17">
        <f t="shared" si="19"/>
        <v>19657.58168444275</v>
      </c>
      <c r="AH81" s="17">
        <f t="shared" si="20"/>
        <v>6651625.5864044018</v>
      </c>
      <c r="AI81" s="17">
        <f t="shared" si="21"/>
        <v>529190927.92843682</v>
      </c>
      <c r="AJ81" s="17">
        <f>+AB81*F81</f>
        <v>10028705.648766192</v>
      </c>
      <c r="AK81" s="17">
        <f t="shared" si="22"/>
        <v>519162222.2796706</v>
      </c>
      <c r="AL81" s="17">
        <f t="shared" si="23"/>
        <v>3377080.0623617899</v>
      </c>
      <c r="AM81" s="16">
        <f>-F81</f>
        <v>-20379.532695807367</v>
      </c>
      <c r="AN81" s="16">
        <f t="shared" si="24"/>
        <v>-10028705.648766192</v>
      </c>
      <c r="AQ81" s="2">
        <v>57</v>
      </c>
      <c r="AR81" s="20">
        <v>475.31718279155302</v>
      </c>
      <c r="AS81" s="19">
        <f t="shared" si="25"/>
        <v>3.1836247617378355E-3</v>
      </c>
      <c r="AT81" s="17">
        <f t="shared" si="26"/>
        <v>505493315.14284885</v>
      </c>
      <c r="AU81" s="17">
        <f t="shared" si="27"/>
        <v>4030874.6808211822</v>
      </c>
      <c r="AV81" s="17">
        <f t="shared" si="28"/>
        <v>1609301.0349817208</v>
      </c>
      <c r="AW81" s="17">
        <f t="shared" si="29"/>
        <v>12832.79244532441</v>
      </c>
      <c r="AX81" s="17">
        <f t="shared" si="30"/>
        <v>5653008.5082482276</v>
      </c>
      <c r="AY81" s="17">
        <f t="shared" si="31"/>
        <v>511146323.65109706</v>
      </c>
      <c r="AZ81" s="17">
        <f>+AR81*F81</f>
        <v>9686742.0675795022</v>
      </c>
      <c r="BA81" s="17">
        <f t="shared" si="32"/>
        <v>501459581.58351755</v>
      </c>
      <c r="BB81" s="17">
        <f t="shared" si="33"/>
        <v>4033733.5593312746</v>
      </c>
      <c r="BC81" s="16">
        <f t="shared" si="34"/>
        <v>-3914714.0127257546</v>
      </c>
      <c r="BD81" s="16">
        <f t="shared" si="35"/>
        <v>-9686742.0675795022</v>
      </c>
    </row>
    <row r="82" spans="2:56" x14ac:dyDescent="0.35">
      <c r="B82" s="2">
        <v>58</v>
      </c>
      <c r="C82" s="17">
        <f t="shared" si="40"/>
        <v>1054999.9026722105</v>
      </c>
      <c r="D82" s="18">
        <f t="shared" si="1"/>
        <v>8412.7173763880091</v>
      </c>
      <c r="E82" s="17">
        <f t="shared" si="41"/>
        <v>1063412.6200485984</v>
      </c>
      <c r="F82" s="18">
        <f t="shared" si="42"/>
        <v>20379.532695807367</v>
      </c>
      <c r="G82" s="17">
        <f t="shared" si="43"/>
        <v>1043033.087352791</v>
      </c>
      <c r="H82" s="17">
        <f t="shared" si="44"/>
        <v>11966.815319419358</v>
      </c>
      <c r="I82" s="16"/>
      <c r="J82" s="16"/>
      <c r="K82" s="2">
        <v>58</v>
      </c>
      <c r="L82" s="2">
        <v>453.58498304336382</v>
      </c>
      <c r="M82" s="19">
        <f t="shared" si="5"/>
        <v>3.0139783750104954E-3</v>
      </c>
      <c r="N82" s="17">
        <f t="shared" si="6"/>
        <v>477094161.47878307</v>
      </c>
      <c r="O82" s="17">
        <f t="shared" si="7"/>
        <v>3804415.8414419051</v>
      </c>
      <c r="P82" s="17">
        <f t="shared" si="8"/>
        <v>1437951.4855408175</v>
      </c>
      <c r="Q82" s="17">
        <f t="shared" si="9"/>
        <v>11466.427075653259</v>
      </c>
      <c r="R82" s="17">
        <f t="shared" si="10"/>
        <v>5253833.754058376</v>
      </c>
      <c r="S82" s="17">
        <f t="shared" si="11"/>
        <v>482347995.23284143</v>
      </c>
      <c r="T82" s="17">
        <f>+F82*L82</f>
        <v>9243849.9922594633</v>
      </c>
      <c r="U82" s="17">
        <f t="shared" si="12"/>
        <v>473104145.24058199</v>
      </c>
      <c r="V82" s="17">
        <f t="shared" si="13"/>
        <v>3990016.2382010873</v>
      </c>
      <c r="W82" s="16">
        <f>-F82</f>
        <v>-20379.532695807367</v>
      </c>
      <c r="X82" s="16">
        <f t="shared" si="14"/>
        <v>-9243849.9922594633</v>
      </c>
      <c r="Y82" s="16"/>
      <c r="Z82" s="16"/>
      <c r="AA82" s="2">
        <v>58</v>
      </c>
      <c r="AB82" s="20">
        <v>494.41848785843081</v>
      </c>
      <c r="AC82" s="19">
        <f t="shared" si="15"/>
        <v>4.7176666275130508E-3</v>
      </c>
      <c r="AD82" s="17">
        <f t="shared" si="16"/>
        <v>519162222.2796706</v>
      </c>
      <c r="AE82" s="17">
        <f t="shared" si="17"/>
        <v>4139872.4658398437</v>
      </c>
      <c r="AF82" s="17">
        <f t="shared" si="18"/>
        <v>2449234.2903143144</v>
      </c>
      <c r="AG82" s="17">
        <f t="shared" si="19"/>
        <v>19530.538174252793</v>
      </c>
      <c r="AH82" s="17">
        <f t="shared" si="20"/>
        <v>6608637.2943284111</v>
      </c>
      <c r="AI82" s="17">
        <f t="shared" si="21"/>
        <v>525770859.57399899</v>
      </c>
      <c r="AJ82" s="17">
        <f>+AB82*F82</f>
        <v>10076017.738722529</v>
      </c>
      <c r="AK82" s="17">
        <f t="shared" si="22"/>
        <v>515694841.83527648</v>
      </c>
      <c r="AL82" s="17">
        <f t="shared" si="23"/>
        <v>3467380.4443941182</v>
      </c>
      <c r="AM82" s="16">
        <f>-F82</f>
        <v>-20379.532695807367</v>
      </c>
      <c r="AN82" s="16">
        <f t="shared" si="24"/>
        <v>-10076017.738722529</v>
      </c>
      <c r="AQ82" s="2">
        <v>58</v>
      </c>
      <c r="AR82" s="20">
        <v>476.68065003582052</v>
      </c>
      <c r="AS82" s="19">
        <f t="shared" si="25"/>
        <v>2.8685418782039562E-3</v>
      </c>
      <c r="AT82" s="17">
        <f t="shared" si="26"/>
        <v>501459581.58351755</v>
      </c>
      <c r="AU82" s="17">
        <f t="shared" si="27"/>
        <v>3998709.1229662928</v>
      </c>
      <c r="AV82" s="17">
        <f t="shared" si="28"/>
        <v>1438457.8099989535</v>
      </c>
      <c r="AW82" s="17">
        <f t="shared" si="29"/>
        <v>11470.464577985023</v>
      </c>
      <c r="AX82" s="17">
        <f t="shared" si="30"/>
        <v>5448637.397543231</v>
      </c>
      <c r="AY82" s="17">
        <f t="shared" si="31"/>
        <v>506908218.9810608</v>
      </c>
      <c r="AZ82" s="17">
        <f>+AR82*F82</f>
        <v>9714528.8928637132</v>
      </c>
      <c r="BA82" s="17">
        <f t="shared" si="32"/>
        <v>497193690.08819711</v>
      </c>
      <c r="BB82" s="17">
        <f t="shared" si="33"/>
        <v>4265891.4953204822</v>
      </c>
      <c r="BC82" s="16">
        <f t="shared" si="34"/>
        <v>-3990016.2382010873</v>
      </c>
      <c r="BD82" s="16">
        <f t="shared" si="35"/>
        <v>-9714528.8928637132</v>
      </c>
    </row>
    <row r="83" spans="2:56" x14ac:dyDescent="0.35">
      <c r="B83" s="2">
        <v>59</v>
      </c>
      <c r="C83" s="17">
        <f t="shared" si="40"/>
        <v>1043033.087352791</v>
      </c>
      <c r="D83" s="18">
        <f t="shared" si="1"/>
        <v>8317.2923105442023</v>
      </c>
      <c r="E83" s="17">
        <f t="shared" si="41"/>
        <v>1051350.3796633352</v>
      </c>
      <c r="F83" s="18">
        <f t="shared" si="42"/>
        <v>20379.532695807367</v>
      </c>
      <c r="G83" s="17">
        <f t="shared" si="43"/>
        <v>1030970.8469675278</v>
      </c>
      <c r="H83" s="17">
        <f t="shared" si="44"/>
        <v>12062.240385263165</v>
      </c>
      <c r="I83" s="16"/>
      <c r="J83" s="16"/>
      <c r="K83" s="2">
        <v>59</v>
      </c>
      <c r="L83" s="2">
        <v>454.94796836989178</v>
      </c>
      <c r="M83" s="19">
        <f t="shared" si="5"/>
        <v>3.0049172205457442E-3</v>
      </c>
      <c r="N83" s="17">
        <f t="shared" si="6"/>
        <v>473104145.24058199</v>
      </c>
      <c r="O83" s="17">
        <f t="shared" si="7"/>
        <v>3772598.8916448834</v>
      </c>
      <c r="P83" s="17">
        <f t="shared" si="8"/>
        <v>1421638.7931449998</v>
      </c>
      <c r="Q83" s="17">
        <f t="shared" si="9"/>
        <v>11336.347375715499</v>
      </c>
      <c r="R83" s="17">
        <f t="shared" si="10"/>
        <v>5205574.0321655991</v>
      </c>
      <c r="S83" s="17">
        <f t="shared" si="11"/>
        <v>478309719.27274758</v>
      </c>
      <c r="T83" s="17">
        <f>+F83*L83</f>
        <v>9271626.9962853454</v>
      </c>
      <c r="U83" s="17">
        <f t="shared" si="12"/>
        <v>469038092.27646226</v>
      </c>
      <c r="V83" s="17">
        <f t="shared" si="13"/>
        <v>4066052.9641197463</v>
      </c>
      <c r="W83" s="16">
        <f>-F83</f>
        <v>-20379.532695807367</v>
      </c>
      <c r="X83" s="16">
        <f t="shared" si="14"/>
        <v>-9271626.9962853454</v>
      </c>
      <c r="Y83" s="16"/>
      <c r="Z83" s="16"/>
      <c r="AA83" s="2">
        <v>59</v>
      </c>
      <c r="AB83" s="20">
        <v>496.75098945862612</v>
      </c>
      <c r="AC83" s="19">
        <f t="shared" si="15"/>
        <v>4.7176666275132728E-3</v>
      </c>
      <c r="AD83" s="17">
        <f t="shared" si="16"/>
        <v>515694841.83527648</v>
      </c>
      <c r="AE83" s="17">
        <f t="shared" si="17"/>
        <v>4112223.0872558104</v>
      </c>
      <c r="AF83" s="17">
        <f t="shared" si="18"/>
        <v>2432876.3453070195</v>
      </c>
      <c r="AG83" s="17">
        <f t="shared" si="19"/>
        <v>19400.097623636339</v>
      </c>
      <c r="AH83" s="17">
        <f t="shared" si="20"/>
        <v>6564499.5301864669</v>
      </c>
      <c r="AI83" s="17">
        <f t="shared" si="21"/>
        <v>522259341.36546296</v>
      </c>
      <c r="AJ83" s="17">
        <f>+AB83*F83</f>
        <v>10123553.031346733</v>
      </c>
      <c r="AK83" s="17">
        <f t="shared" si="22"/>
        <v>512135788.33411622</v>
      </c>
      <c r="AL83" s="17">
        <f t="shared" si="23"/>
        <v>3559053.5011602659</v>
      </c>
      <c r="AM83" s="16">
        <f>-F83</f>
        <v>-20379.532695807367</v>
      </c>
      <c r="AN83" s="16">
        <f t="shared" si="24"/>
        <v>-10123553.031346733</v>
      </c>
      <c r="AQ83" s="2">
        <v>59</v>
      </c>
      <c r="AR83" s="20">
        <v>478.02290593143192</v>
      </c>
      <c r="AS83" s="19">
        <f t="shared" si="25"/>
        <v>2.8158388546095647E-3</v>
      </c>
      <c r="AT83" s="17">
        <f t="shared" si="26"/>
        <v>497193690.08819711</v>
      </c>
      <c r="AU83" s="17">
        <f t="shared" si="27"/>
        <v>3964692.3051281413</v>
      </c>
      <c r="AV83" s="17">
        <f t="shared" si="28"/>
        <v>1400017.3108170519</v>
      </c>
      <c r="AW83" s="17">
        <f t="shared" si="29"/>
        <v>11163.934639351381</v>
      </c>
      <c r="AX83" s="17">
        <f t="shared" si="30"/>
        <v>5375873.5505845444</v>
      </c>
      <c r="AY83" s="17">
        <f t="shared" si="31"/>
        <v>502569563.63878167</v>
      </c>
      <c r="AZ83" s="17">
        <f>+AR83*F83</f>
        <v>9741883.4407744668</v>
      </c>
      <c r="BA83" s="17">
        <f t="shared" si="32"/>
        <v>492827680.19800723</v>
      </c>
      <c r="BB83" s="17">
        <f t="shared" si="33"/>
        <v>4366009.8901899224</v>
      </c>
      <c r="BC83" s="16">
        <f t="shared" si="34"/>
        <v>-4066052.9641197463</v>
      </c>
      <c r="BD83" s="16">
        <f t="shared" si="35"/>
        <v>-9741883.4407744668</v>
      </c>
    </row>
    <row r="84" spans="2:56" x14ac:dyDescent="0.35">
      <c r="B84" s="2">
        <v>60</v>
      </c>
      <c r="C84" s="17">
        <f t="shared" si="40"/>
        <v>1030970.8469675278</v>
      </c>
      <c r="D84" s="18">
        <f t="shared" si="1"/>
        <v>8221.1063118249185</v>
      </c>
      <c r="E84" s="17">
        <f t="shared" si="41"/>
        <v>1039191.9532793526</v>
      </c>
      <c r="F84" s="18">
        <f>+$F$15+C14</f>
        <v>70379.532695807371</v>
      </c>
      <c r="G84" s="17">
        <f t="shared" si="43"/>
        <v>968812.42058354523</v>
      </c>
      <c r="H84" s="17">
        <f t="shared" si="44"/>
        <v>62158.426383982456</v>
      </c>
      <c r="I84" s="16"/>
      <c r="J84" s="16"/>
      <c r="K84" s="2">
        <v>60</v>
      </c>
      <c r="L84" s="2">
        <v>456.31095563285783</v>
      </c>
      <c r="M84" s="19">
        <f t="shared" si="5"/>
        <v>2.9959190011326076E-3</v>
      </c>
      <c r="N84" s="17">
        <f t="shared" si="6"/>
        <v>469038092.27646226</v>
      </c>
      <c r="O84" s="17">
        <f t="shared" si="7"/>
        <v>3740175.6143176323</v>
      </c>
      <c r="P84" s="17">
        <f t="shared" si="8"/>
        <v>1405200.1329060425</v>
      </c>
      <c r="Q84" s="17">
        <f t="shared" si="9"/>
        <v>11205.263190507017</v>
      </c>
      <c r="R84" s="17">
        <f t="shared" si="10"/>
        <v>5156581.0104141813</v>
      </c>
      <c r="S84" s="17">
        <f t="shared" si="11"/>
        <v>474194673.28687644</v>
      </c>
      <c r="T84" s="17">
        <f>+F84*L84</f>
        <v>32114951.821417823</v>
      </c>
      <c r="U84" s="17">
        <f t="shared" si="12"/>
        <v>442079721.46545863</v>
      </c>
      <c r="V84" s="17">
        <f t="shared" si="13"/>
        <v>26958370.81100364</v>
      </c>
      <c r="W84" s="16">
        <f>-F84</f>
        <v>-70379.532695807371</v>
      </c>
      <c r="X84" s="16">
        <f t="shared" si="14"/>
        <v>-32114951.821417823</v>
      </c>
      <c r="Y84" s="16"/>
      <c r="Z84" s="16"/>
      <c r="AA84" s="2">
        <v>60</v>
      </c>
      <c r="AB84" s="20">
        <v>499.0944950237793</v>
      </c>
      <c r="AC84" s="19">
        <f t="shared" si="15"/>
        <v>4.7176666275132728E-3</v>
      </c>
      <c r="AD84" s="17">
        <f t="shared" si="16"/>
        <v>512135788.33411622</v>
      </c>
      <c r="AE84" s="17">
        <f t="shared" si="17"/>
        <v>4083842.6948435768</v>
      </c>
      <c r="AF84" s="17">
        <f t="shared" si="18"/>
        <v>2416085.9173790612</v>
      </c>
      <c r="AG84" s="17">
        <f t="shared" si="19"/>
        <v>19266.208393477413</v>
      </c>
      <c r="AH84" s="17">
        <f t="shared" si="20"/>
        <v>6519194.8206161149</v>
      </c>
      <c r="AI84" s="17">
        <f t="shared" si="21"/>
        <v>518654983.15473235</v>
      </c>
      <c r="AJ84" s="17">
        <f>+AB84*F84</f>
        <v>35126037.330823548</v>
      </c>
      <c r="AK84" s="17">
        <f t="shared" si="22"/>
        <v>483528945.82390881</v>
      </c>
      <c r="AL84" s="17">
        <f t="shared" si="23"/>
        <v>28606842.510207433</v>
      </c>
      <c r="AM84" s="16">
        <f>-F84</f>
        <v>-70379.532695807371</v>
      </c>
      <c r="AN84" s="16">
        <f t="shared" si="24"/>
        <v>-35126037.330823548</v>
      </c>
      <c r="AQ84" s="2">
        <v>60</v>
      </c>
      <c r="AR84" s="20">
        <v>480.17407582409129</v>
      </c>
      <c r="AS84" s="19">
        <f t="shared" si="25"/>
        <v>4.5001397756616601E-3</v>
      </c>
      <c r="AT84" s="17">
        <f t="shared" si="26"/>
        <v>492827680.19800723</v>
      </c>
      <c r="AU84" s="17">
        <f t="shared" si="27"/>
        <v>3929877.1291497843</v>
      </c>
      <c r="AV84" s="17">
        <f t="shared" si="28"/>
        <v>2217793.4462061166</v>
      </c>
      <c r="AW84" s="17">
        <f t="shared" si="29"/>
        <v>17684.99638235</v>
      </c>
      <c r="AX84" s="17">
        <f t="shared" si="30"/>
        <v>6165355.5717382506</v>
      </c>
      <c r="AY84" s="17">
        <f t="shared" si="31"/>
        <v>498993035.76974547</v>
      </c>
      <c r="AZ84" s="17">
        <f>+AR84*F84</f>
        <v>33794427.069140717</v>
      </c>
      <c r="BA84" s="17">
        <f t="shared" si="32"/>
        <v>465198608.70060474</v>
      </c>
      <c r="BB84" s="17">
        <f t="shared" si="33"/>
        <v>27629071.497402467</v>
      </c>
      <c r="BC84" s="16">
        <f t="shared" si="34"/>
        <v>-26958370.81100364</v>
      </c>
      <c r="BD84" s="16">
        <f t="shared" si="35"/>
        <v>-33794427.069140717</v>
      </c>
    </row>
    <row r="85" spans="2:56" x14ac:dyDescent="0.35">
      <c r="B85" s="2">
        <v>61</v>
      </c>
      <c r="C85" s="17">
        <f t="shared" si="40"/>
        <v>968812.42058354523</v>
      </c>
      <c r="D85" s="18">
        <f t="shared" si="1"/>
        <v>7725.4462909993654</v>
      </c>
      <c r="E85" s="17">
        <f t="shared" si="41"/>
        <v>976537.86687454465</v>
      </c>
      <c r="F85" s="18">
        <f t="shared" si="42"/>
        <v>20379.532695807367</v>
      </c>
      <c r="G85" s="17">
        <f t="shared" si="43"/>
        <v>956158.33417873725</v>
      </c>
      <c r="H85" s="17">
        <f t="shared" si="44"/>
        <v>12654.086404808002</v>
      </c>
      <c r="I85" s="16"/>
      <c r="J85" s="16"/>
      <c r="K85" s="2">
        <v>61</v>
      </c>
      <c r="L85" s="2">
        <v>457.67394118393031</v>
      </c>
      <c r="M85" s="19">
        <f t="shared" si="5"/>
        <v>2.9869665285202629E-3</v>
      </c>
      <c r="N85" s="17">
        <f t="shared" si="6"/>
        <v>442079721.46545863</v>
      </c>
      <c r="O85" s="17">
        <f t="shared" si="7"/>
        <v>3525205.7797362288</v>
      </c>
      <c r="P85" s="17">
        <f t="shared" si="8"/>
        <v>1320477.3309548858</v>
      </c>
      <c r="Q85" s="17">
        <f t="shared" si="9"/>
        <v>10529.671670218289</v>
      </c>
      <c r="R85" s="17">
        <f t="shared" si="10"/>
        <v>4856212.7823613333</v>
      </c>
      <c r="S85" s="17">
        <f t="shared" si="11"/>
        <v>446935934.24781996</v>
      </c>
      <c r="T85" s="17">
        <f>+F85*L85</f>
        <v>9327181.0483769253</v>
      </c>
      <c r="U85" s="17">
        <f t="shared" si="12"/>
        <v>437608753.19944304</v>
      </c>
      <c r="V85" s="17">
        <f t="shared" si="13"/>
        <v>4470968.266015592</v>
      </c>
      <c r="W85" s="16">
        <f>-F85</f>
        <v>-20379.532695807367</v>
      </c>
      <c r="X85" s="16">
        <f t="shared" si="14"/>
        <v>-9327181.0483769253</v>
      </c>
      <c r="Y85" s="16"/>
      <c r="Z85" s="16"/>
      <c r="AA85" s="2">
        <v>61</v>
      </c>
      <c r="AB85" s="20">
        <v>501.44905646692848</v>
      </c>
      <c r="AC85" s="19">
        <f t="shared" si="15"/>
        <v>4.7176666275130508E-3</v>
      </c>
      <c r="AD85" s="17">
        <f t="shared" si="16"/>
        <v>483528945.82390881</v>
      </c>
      <c r="AE85" s="17">
        <f t="shared" si="17"/>
        <v>3855727.7154396493</v>
      </c>
      <c r="AF85" s="17">
        <f t="shared" si="18"/>
        <v>2281128.3711500205</v>
      </c>
      <c r="AG85" s="17">
        <f t="shared" si="19"/>
        <v>18190.03796790677</v>
      </c>
      <c r="AH85" s="17">
        <f t="shared" si="20"/>
        <v>6155046.1245575771</v>
      </c>
      <c r="AI85" s="17">
        <f t="shared" si="21"/>
        <v>489683991.94846636</v>
      </c>
      <c r="AJ85" s="17">
        <f>+AB85*F85</f>
        <v>10219297.441549525</v>
      </c>
      <c r="AK85" s="17">
        <f t="shared" si="22"/>
        <v>479464694.50691682</v>
      </c>
      <c r="AL85" s="17">
        <f t="shared" si="23"/>
        <v>4064251.3169919476</v>
      </c>
      <c r="AM85" s="16">
        <f>-F85</f>
        <v>-20379.532695807367</v>
      </c>
      <c r="AN85" s="16">
        <f t="shared" si="24"/>
        <v>-10219297.441549525</v>
      </c>
      <c r="AQ85" s="2">
        <v>61</v>
      </c>
      <c r="AR85" s="20">
        <v>481.69595819817829</v>
      </c>
      <c r="AS85" s="19">
        <f t="shared" si="25"/>
        <v>3.1694388570959742E-3</v>
      </c>
      <c r="AT85" s="17">
        <f t="shared" si="26"/>
        <v>465198608.70060474</v>
      </c>
      <c r="AU85" s="17">
        <f t="shared" si="27"/>
        <v>3709559.0331092747</v>
      </c>
      <c r="AV85" s="17">
        <f t="shared" si="28"/>
        <v>1474418.5466826819</v>
      </c>
      <c r="AW85" s="17">
        <f t="shared" si="29"/>
        <v>11757.220542227906</v>
      </c>
      <c r="AX85" s="17">
        <f t="shared" si="30"/>
        <v>5195734.8003341844</v>
      </c>
      <c r="AY85" s="17">
        <f t="shared" si="31"/>
        <v>470394343.50093889</v>
      </c>
      <c r="AZ85" s="17">
        <f>+AR85*F85</f>
        <v>9816738.5295380335</v>
      </c>
      <c r="BA85" s="17">
        <f t="shared" si="32"/>
        <v>460577604.97140086</v>
      </c>
      <c r="BB85" s="17">
        <f t="shared" si="33"/>
        <v>4621003.7292038491</v>
      </c>
      <c r="BC85" s="16">
        <f t="shared" si="34"/>
        <v>-4470968.266015592</v>
      </c>
      <c r="BD85" s="16">
        <f t="shared" si="35"/>
        <v>-9816738.5295380335</v>
      </c>
    </row>
    <row r="86" spans="2:56" x14ac:dyDescent="0.35">
      <c r="B86" s="2">
        <v>62</v>
      </c>
      <c r="C86" s="17">
        <f t="shared" si="40"/>
        <v>956158.33417873725</v>
      </c>
      <c r="D86" s="18">
        <f t="shared" si="1"/>
        <v>7624.5408290079449</v>
      </c>
      <c r="E86" s="17">
        <f t="shared" si="41"/>
        <v>963782.87500774523</v>
      </c>
      <c r="F86" s="18">
        <f t="shared" si="42"/>
        <v>20379.532695807367</v>
      </c>
      <c r="G86" s="17">
        <f t="shared" si="43"/>
        <v>943403.34231193783</v>
      </c>
      <c r="H86" s="17">
        <f t="shared" si="44"/>
        <v>12754.991866799422</v>
      </c>
      <c r="I86" s="16"/>
      <c r="J86" s="16"/>
      <c r="K86" s="2">
        <v>62</v>
      </c>
      <c r="L86" s="2">
        <v>459.03692812772738</v>
      </c>
      <c r="M86" s="19">
        <f t="shared" si="5"/>
        <v>2.9780741727860605E-3</v>
      </c>
      <c r="N86" s="17">
        <f t="shared" si="6"/>
        <v>437608753.19944304</v>
      </c>
      <c r="O86" s="17">
        <f t="shared" si="7"/>
        <v>3489553.6509298482</v>
      </c>
      <c r="P86" s="17">
        <f t="shared" si="8"/>
        <v>1303231.3256883707</v>
      </c>
      <c r="Q86" s="17">
        <f t="shared" si="9"/>
        <v>10392.149602385485</v>
      </c>
      <c r="R86" s="17">
        <f t="shared" si="10"/>
        <v>4803177.1262206044</v>
      </c>
      <c r="S86" s="17">
        <f t="shared" si="11"/>
        <v>442411930.32566363</v>
      </c>
      <c r="T86" s="17">
        <f>+F86*L86</f>
        <v>9354958.0853619967</v>
      </c>
      <c r="U86" s="17">
        <f t="shared" si="12"/>
        <v>433056972.24030161</v>
      </c>
      <c r="V86" s="17">
        <f t="shared" si="13"/>
        <v>4551780.9591413923</v>
      </c>
      <c r="W86" s="16">
        <f>-F86</f>
        <v>-20379.532695807367</v>
      </c>
      <c r="X86" s="16">
        <f t="shared" si="14"/>
        <v>-9354958.0853619967</v>
      </c>
      <c r="Y86" s="16"/>
      <c r="Z86" s="16"/>
      <c r="AA86" s="2">
        <v>62</v>
      </c>
      <c r="AB86" s="20">
        <v>503.81472594602059</v>
      </c>
      <c r="AC86" s="19">
        <f t="shared" si="15"/>
        <v>4.7176666275134949E-3</v>
      </c>
      <c r="AD86" s="17">
        <f t="shared" si="16"/>
        <v>479464694.50691682</v>
      </c>
      <c r="AE86" s="17">
        <f t="shared" si="17"/>
        <v>3823318.8046995979</v>
      </c>
      <c r="AF86" s="17">
        <f t="shared" si="18"/>
        <v>2261954.5883462345</v>
      </c>
      <c r="AG86" s="17">
        <f t="shared" si="19"/>
        <v>18037.143531276077</v>
      </c>
      <c r="AH86" s="17">
        <f t="shared" si="20"/>
        <v>6103310.5365771083</v>
      </c>
      <c r="AI86" s="17">
        <f t="shared" si="21"/>
        <v>485568005.04349393</v>
      </c>
      <c r="AJ86" s="17">
        <f>+AB86*F86</f>
        <v>10267508.680046154</v>
      </c>
      <c r="AK86" s="17">
        <f t="shared" si="22"/>
        <v>475300496.36344779</v>
      </c>
      <c r="AL86" s="17">
        <f t="shared" si="23"/>
        <v>4164198.1434690459</v>
      </c>
      <c r="AM86" s="16">
        <f>-F86</f>
        <v>-20379.532695807367</v>
      </c>
      <c r="AN86" s="16">
        <f t="shared" si="24"/>
        <v>-10267508.680046154</v>
      </c>
      <c r="AQ86" s="2">
        <v>62</v>
      </c>
      <c r="AR86" s="20">
        <v>482.53393583003918</v>
      </c>
      <c r="AS86" s="19">
        <f t="shared" si="25"/>
        <v>1.7396401559925945E-3</v>
      </c>
      <c r="AT86" s="17">
        <f t="shared" si="26"/>
        <v>460577604.97140086</v>
      </c>
      <c r="AU86" s="17">
        <f t="shared" si="27"/>
        <v>3672710.5004501147</v>
      </c>
      <c r="AV86" s="17">
        <f t="shared" si="28"/>
        <v>801239.29655914335</v>
      </c>
      <c r="AW86" s="17">
        <f t="shared" si="29"/>
        <v>6389.1946679186776</v>
      </c>
      <c r="AX86" s="17">
        <f t="shared" si="30"/>
        <v>4480338.9916771762</v>
      </c>
      <c r="AY86" s="17">
        <f t="shared" si="31"/>
        <v>465057943.96307802</v>
      </c>
      <c r="AZ86" s="17">
        <f>+AR86*F86</f>
        <v>9833816.122084897</v>
      </c>
      <c r="BA86" s="17">
        <f t="shared" si="32"/>
        <v>455224127.84099311</v>
      </c>
      <c r="BB86" s="17">
        <f t="shared" si="33"/>
        <v>5353477.1304077208</v>
      </c>
      <c r="BC86" s="16">
        <f t="shared" si="34"/>
        <v>-4551780.9591413923</v>
      </c>
      <c r="BD86" s="16">
        <f t="shared" si="35"/>
        <v>-9833816.122084897</v>
      </c>
    </row>
    <row r="87" spans="2:56" x14ac:dyDescent="0.35">
      <c r="B87" s="2">
        <v>63</v>
      </c>
      <c r="C87" s="17">
        <f t="shared" si="40"/>
        <v>943403.34231193783</v>
      </c>
      <c r="D87" s="18">
        <f t="shared" si="1"/>
        <v>7522.8307326925606</v>
      </c>
      <c r="E87" s="17">
        <f t="shared" si="41"/>
        <v>950926.17304463044</v>
      </c>
      <c r="F87" s="18">
        <f t="shared" si="42"/>
        <v>20379.532695807367</v>
      </c>
      <c r="G87" s="17">
        <f t="shared" si="43"/>
        <v>930546.64034882304</v>
      </c>
      <c r="H87" s="17">
        <f t="shared" si="44"/>
        <v>12856.701963114807</v>
      </c>
      <c r="I87" s="16"/>
      <c r="J87" s="16"/>
      <c r="K87" s="2">
        <v>63</v>
      </c>
      <c r="L87" s="2">
        <v>460.39991403108132</v>
      </c>
      <c r="M87" s="19">
        <f t="shared" si="5"/>
        <v>2.9692293143237514E-3</v>
      </c>
      <c r="N87" s="17">
        <f t="shared" si="6"/>
        <v>433056972.24030161</v>
      </c>
      <c r="O87" s="17">
        <f t="shared" si="7"/>
        <v>3453257.1103600441</v>
      </c>
      <c r="P87" s="17">
        <f t="shared" si="8"/>
        <v>1285845.4567481906</v>
      </c>
      <c r="Q87" s="17">
        <f t="shared" si="9"/>
        <v>10253.512241977973</v>
      </c>
      <c r="R87" s="17">
        <f t="shared" si="10"/>
        <v>4749356.0793502126</v>
      </c>
      <c r="S87" s="17">
        <f t="shared" si="11"/>
        <v>437806328.31965184</v>
      </c>
      <c r="T87" s="17">
        <f>+F87*L87</f>
        <v>9382735.1011433229</v>
      </c>
      <c r="U87" s="17">
        <f t="shared" si="12"/>
        <v>428423593.21850854</v>
      </c>
      <c r="V87" s="17">
        <f t="shared" si="13"/>
        <v>4633379.0217931103</v>
      </c>
      <c r="W87" s="16">
        <f>-F87</f>
        <v>-20379.532695807367</v>
      </c>
      <c r="X87" s="16">
        <f t="shared" si="14"/>
        <v>-9382735.1011433229</v>
      </c>
      <c r="Y87" s="16"/>
      <c r="Z87" s="16"/>
      <c r="AA87" s="2">
        <v>63</v>
      </c>
      <c r="AB87" s="20">
        <v>506.19155586506588</v>
      </c>
      <c r="AC87" s="19">
        <f t="shared" si="15"/>
        <v>4.7176666275132728E-3</v>
      </c>
      <c r="AD87" s="17">
        <f t="shared" si="16"/>
        <v>475300496.36344779</v>
      </c>
      <c r="AE87" s="17">
        <f t="shared" si="17"/>
        <v>3790112.9039297956</v>
      </c>
      <c r="AF87" s="17">
        <f t="shared" si="18"/>
        <v>2242309.2897343314</v>
      </c>
      <c r="AG87" s="17">
        <f t="shared" si="19"/>
        <v>17880.489161377016</v>
      </c>
      <c r="AH87" s="17">
        <f t="shared" si="20"/>
        <v>6050302.6828255039</v>
      </c>
      <c r="AI87" s="17">
        <f t="shared" si="21"/>
        <v>481350799.04627329</v>
      </c>
      <c r="AJ87" s="17">
        <f>+AB87*F87</f>
        <v>10315947.363093711</v>
      </c>
      <c r="AK87" s="17">
        <f t="shared" si="22"/>
        <v>471034851.68317956</v>
      </c>
      <c r="AL87" s="17">
        <f t="shared" si="23"/>
        <v>4265644.6802682076</v>
      </c>
      <c r="AM87" s="16">
        <f>-F87</f>
        <v>-20379.532695807367</v>
      </c>
      <c r="AN87" s="16">
        <f t="shared" si="24"/>
        <v>-10315947.363093711</v>
      </c>
      <c r="AQ87" s="2">
        <v>63</v>
      </c>
      <c r="AR87" s="20">
        <v>483.17551815182861</v>
      </c>
      <c r="AS87" s="19">
        <f t="shared" si="25"/>
        <v>1.3296107779150468E-3</v>
      </c>
      <c r="AT87" s="17">
        <f t="shared" si="26"/>
        <v>455224127.84099311</v>
      </c>
      <c r="AU87" s="17">
        <f t="shared" si="27"/>
        <v>3630021.1220293189</v>
      </c>
      <c r="AV87" s="17">
        <f t="shared" si="28"/>
        <v>605270.90674436151</v>
      </c>
      <c r="AW87" s="17">
        <f t="shared" si="29"/>
        <v>4826.5152079094541</v>
      </c>
      <c r="AX87" s="17">
        <f t="shared" si="30"/>
        <v>4240118.5439815903</v>
      </c>
      <c r="AY87" s="17">
        <f t="shared" si="31"/>
        <v>459464246.38497472</v>
      </c>
      <c r="AZ87" s="17">
        <f>+AR87*F87</f>
        <v>9846891.2699888572</v>
      </c>
      <c r="BA87" s="17">
        <f t="shared" si="32"/>
        <v>449617355.11498588</v>
      </c>
      <c r="BB87" s="17">
        <f t="shared" si="33"/>
        <v>5606772.7260072669</v>
      </c>
      <c r="BC87" s="16">
        <f t="shared" si="34"/>
        <v>-4633379.0217931103</v>
      </c>
      <c r="BD87" s="16">
        <f t="shared" si="35"/>
        <v>-9846891.2699888572</v>
      </c>
    </row>
    <row r="88" spans="2:56" x14ac:dyDescent="0.35">
      <c r="B88" s="2">
        <v>64</v>
      </c>
      <c r="C88" s="17">
        <f t="shared" si="40"/>
        <v>930546.64034882304</v>
      </c>
      <c r="D88" s="18">
        <f t="shared" si="1"/>
        <v>7420.3095857861208</v>
      </c>
      <c r="E88" s="17">
        <f t="shared" si="41"/>
        <v>937966.94993460912</v>
      </c>
      <c r="F88" s="18">
        <f t="shared" si="42"/>
        <v>20379.532695807367</v>
      </c>
      <c r="G88" s="17">
        <f t="shared" si="43"/>
        <v>917587.41723880172</v>
      </c>
      <c r="H88" s="17">
        <f t="shared" si="44"/>
        <v>12959.223110021247</v>
      </c>
      <c r="I88" s="16"/>
      <c r="J88" s="16"/>
      <c r="K88" s="2">
        <v>64</v>
      </c>
      <c r="L88" s="2">
        <v>461.76290063445128</v>
      </c>
      <c r="M88" s="19">
        <f t="shared" si="5"/>
        <v>2.9604406122412108E-3</v>
      </c>
      <c r="N88" s="17">
        <f t="shared" si="6"/>
        <v>428423593.21850854</v>
      </c>
      <c r="O88" s="17">
        <f t="shared" si="7"/>
        <v>3416309.8953799293</v>
      </c>
      <c r="P88" s="17">
        <f t="shared" si="8"/>
        <v>1268322.6046063809</v>
      </c>
      <c r="Q88" s="17">
        <f t="shared" si="9"/>
        <v>10113.782558284265</v>
      </c>
      <c r="R88" s="17">
        <f t="shared" si="10"/>
        <v>4694746.2825445943</v>
      </c>
      <c r="S88" s="17">
        <f t="shared" si="11"/>
        <v>433118339.50105315</v>
      </c>
      <c r="T88" s="17">
        <f>+F88*L88</f>
        <v>9410512.1311906483</v>
      </c>
      <c r="U88" s="17">
        <f t="shared" si="12"/>
        <v>423707827.3698625</v>
      </c>
      <c r="V88" s="17">
        <f t="shared" si="13"/>
        <v>4715765.848646054</v>
      </c>
      <c r="W88" s="16">
        <f>-F88</f>
        <v>-20379.532695807367</v>
      </c>
      <c r="X88" s="16">
        <f t="shared" si="14"/>
        <v>-9410512.1311906483</v>
      </c>
      <c r="Y88" s="16"/>
      <c r="Z88" s="16"/>
      <c r="AA88" s="2">
        <v>64</v>
      </c>
      <c r="AB88" s="20">
        <v>508.57959887529961</v>
      </c>
      <c r="AC88" s="19">
        <f t="shared" si="15"/>
        <v>4.7176666275134949E-3</v>
      </c>
      <c r="AD88" s="17">
        <f t="shared" si="16"/>
        <v>471034851.68317956</v>
      </c>
      <c r="AE88" s="17">
        <f t="shared" si="17"/>
        <v>3756098.0542295305</v>
      </c>
      <c r="AF88" s="17">
        <f t="shared" si="18"/>
        <v>2222185.4001815049</v>
      </c>
      <c r="AG88" s="17">
        <f t="shared" si="19"/>
        <v>17720.018440107029</v>
      </c>
      <c r="AH88" s="17">
        <f t="shared" si="20"/>
        <v>5996003.4728511423</v>
      </c>
      <c r="AI88" s="17">
        <f t="shared" si="21"/>
        <v>477030855.15603071</v>
      </c>
      <c r="AJ88" s="17">
        <f>+AB88*F88</f>
        <v>10364614.563699765</v>
      </c>
      <c r="AK88" s="17">
        <f t="shared" si="22"/>
        <v>466666240.59233093</v>
      </c>
      <c r="AL88" s="17">
        <f t="shared" si="23"/>
        <v>4368611.0908486228</v>
      </c>
      <c r="AM88" s="16">
        <f>-F88</f>
        <v>-20379.532695807367</v>
      </c>
      <c r="AN88" s="16">
        <f t="shared" si="24"/>
        <v>-10364614.563699765</v>
      </c>
      <c r="AQ88" s="2">
        <v>64</v>
      </c>
      <c r="AR88" s="20">
        <v>484.62274749973619</v>
      </c>
      <c r="AS88" s="19">
        <f t="shared" si="25"/>
        <v>2.9952456064894495E-3</v>
      </c>
      <c r="AT88" s="17">
        <f t="shared" si="26"/>
        <v>449617355.11498588</v>
      </c>
      <c r="AU88" s="17">
        <f t="shared" si="27"/>
        <v>3585311.9289591894</v>
      </c>
      <c r="AV88" s="17">
        <f t="shared" si="28"/>
        <v>1346714.4075095681</v>
      </c>
      <c r="AW88" s="17">
        <f t="shared" si="29"/>
        <v>10738.889803109225</v>
      </c>
      <c r="AX88" s="17">
        <f t="shared" si="30"/>
        <v>4942765.2262718668</v>
      </c>
      <c r="AY88" s="17">
        <f t="shared" si="31"/>
        <v>454560120.34125775</v>
      </c>
      <c r="AZ88" s="17">
        <f>+AR88*F88</f>
        <v>9876385.1278028712</v>
      </c>
      <c r="BA88" s="17">
        <f t="shared" si="32"/>
        <v>444683735.2134549</v>
      </c>
      <c r="BB88" s="17">
        <f t="shared" si="33"/>
        <v>4933619.9015310043</v>
      </c>
      <c r="BC88" s="16">
        <f t="shared" si="34"/>
        <v>-4715765.848646054</v>
      </c>
      <c r="BD88" s="16">
        <f t="shared" si="35"/>
        <v>-9876385.1278028712</v>
      </c>
    </row>
    <row r="89" spans="2:56" x14ac:dyDescent="0.35">
      <c r="B89" s="2">
        <v>65</v>
      </c>
      <c r="C89" s="17">
        <f t="shared" si="40"/>
        <v>917587.41723880172</v>
      </c>
      <c r="D89" s="18">
        <f t="shared" si="1"/>
        <v>7316.9709208573158</v>
      </c>
      <c r="E89" s="17">
        <f t="shared" si="41"/>
        <v>924904.38815965899</v>
      </c>
      <c r="F89" s="18">
        <f t="shared" si="42"/>
        <v>20379.532695807367</v>
      </c>
      <c r="G89" s="17">
        <f t="shared" si="43"/>
        <v>904524.85546385159</v>
      </c>
      <c r="H89" s="17">
        <f t="shared" si="44"/>
        <v>13062.561774950052</v>
      </c>
      <c r="I89" s="16"/>
      <c r="J89" s="16"/>
      <c r="K89" s="2">
        <v>65</v>
      </c>
      <c r="L89" s="2">
        <v>463.12588683701921</v>
      </c>
      <c r="M89" s="19">
        <f t="shared" si="5"/>
        <v>2.9517014049746937E-3</v>
      </c>
      <c r="N89" s="17">
        <f t="shared" si="6"/>
        <v>423707827.3698625</v>
      </c>
      <c r="O89" s="17">
        <f t="shared" si="7"/>
        <v>3378705.7162729977</v>
      </c>
      <c r="P89" s="17">
        <f t="shared" si="8"/>
        <v>1250658.989346398</v>
      </c>
      <c r="Q89" s="17">
        <f t="shared" si="9"/>
        <v>9972.9304097190361</v>
      </c>
      <c r="R89" s="17">
        <f t="shared" si="10"/>
        <v>4639337.6360291149</v>
      </c>
      <c r="S89" s="17">
        <f t="shared" si="11"/>
        <v>428347165.00589162</v>
      </c>
      <c r="T89" s="17">
        <f>+F89*L89</f>
        <v>9438289.1530698165</v>
      </c>
      <c r="U89" s="17">
        <f t="shared" si="12"/>
        <v>418908875.85282183</v>
      </c>
      <c r="V89" s="17">
        <f t="shared" si="13"/>
        <v>4798951.5170407016</v>
      </c>
      <c r="W89" s="16">
        <f>-F89</f>
        <v>-20379.532695807367</v>
      </c>
      <c r="X89" s="16">
        <f t="shared" si="14"/>
        <v>-9438289.1530698165</v>
      </c>
      <c r="Y89" s="16"/>
      <c r="Z89" s="16"/>
      <c r="AA89" s="2">
        <v>65</v>
      </c>
      <c r="AB89" s="20">
        <v>510.97890787634759</v>
      </c>
      <c r="AC89" s="19">
        <f t="shared" si="15"/>
        <v>4.7176666275130508E-3</v>
      </c>
      <c r="AD89" s="17">
        <f t="shared" si="16"/>
        <v>466666240.59233093</v>
      </c>
      <c r="AE89" s="17">
        <f t="shared" si="17"/>
        <v>3721262.1359118372</v>
      </c>
      <c r="AF89" s="17">
        <f t="shared" si="18"/>
        <v>2201575.7494294159</v>
      </c>
      <c r="AG89" s="17">
        <f t="shared" si="19"/>
        <v>17555.674190819209</v>
      </c>
      <c r="AH89" s="17">
        <f t="shared" si="20"/>
        <v>5940393.5595320724</v>
      </c>
      <c r="AI89" s="17">
        <f t="shared" si="21"/>
        <v>472606634.15186298</v>
      </c>
      <c r="AJ89" s="17">
        <f>+AB89*F89</f>
        <v>10413511.359933967</v>
      </c>
      <c r="AK89" s="17">
        <f t="shared" si="22"/>
        <v>462193122.79192901</v>
      </c>
      <c r="AL89" s="17">
        <f t="shared" si="23"/>
        <v>4473117.8004018944</v>
      </c>
      <c r="AM89" s="16">
        <f>-F89</f>
        <v>-20379.532695807367</v>
      </c>
      <c r="AN89" s="16">
        <f t="shared" si="24"/>
        <v>-10413511.359933967</v>
      </c>
      <c r="AQ89" s="2">
        <v>65</v>
      </c>
      <c r="AR89" s="20">
        <v>487.95744244648671</v>
      </c>
      <c r="AS89" s="19">
        <f t="shared" si="25"/>
        <v>6.8810120118274476E-3</v>
      </c>
      <c r="AT89" s="17">
        <f t="shared" si="26"/>
        <v>444683735.2134549</v>
      </c>
      <c r="AU89" s="17">
        <f t="shared" si="27"/>
        <v>3545970.5510415472</v>
      </c>
      <c r="AV89" s="17">
        <f t="shared" si="28"/>
        <v>3059874.1234680791</v>
      </c>
      <c r="AW89" s="17">
        <f t="shared" si="29"/>
        <v>24399.865955303281</v>
      </c>
      <c r="AX89" s="17">
        <f t="shared" si="30"/>
        <v>6630244.5404649302</v>
      </c>
      <c r="AY89" s="17">
        <f t="shared" si="31"/>
        <v>451313979.75391984</v>
      </c>
      <c r="AZ89" s="17">
        <f>+AR89*F89</f>
        <v>9944344.652500717</v>
      </c>
      <c r="BA89" s="17">
        <f t="shared" si="32"/>
        <v>441369635.10141915</v>
      </c>
      <c r="BB89" s="17">
        <f t="shared" si="33"/>
        <v>3314100.1120357867</v>
      </c>
      <c r="BC89" s="16">
        <f t="shared" si="34"/>
        <v>-4798951.5170407016</v>
      </c>
      <c r="BD89" s="16">
        <f t="shared" si="35"/>
        <v>-9944344.652500717</v>
      </c>
    </row>
    <row r="90" spans="2:56" x14ac:dyDescent="0.35">
      <c r="B90" s="2">
        <v>66</v>
      </c>
      <c r="C90" s="17">
        <f t="shared" si="40"/>
        <v>904524.85546385159</v>
      </c>
      <c r="D90" s="18">
        <f t="shared" ref="D90:D144" si="45">+C90*$C$13</f>
        <v>7212.8082189026327</v>
      </c>
      <c r="E90" s="17">
        <f t="shared" si="41"/>
        <v>911737.66368275427</v>
      </c>
      <c r="F90" s="18">
        <f t="shared" si="42"/>
        <v>20379.532695807367</v>
      </c>
      <c r="G90" s="17">
        <f t="shared" si="43"/>
        <v>891358.13098694687</v>
      </c>
      <c r="H90" s="17">
        <f t="shared" si="44"/>
        <v>13166.724476904736</v>
      </c>
      <c r="I90" s="16"/>
      <c r="J90" s="16"/>
      <c r="K90" s="2">
        <v>66</v>
      </c>
      <c r="L90" s="2">
        <v>464.48887319829561</v>
      </c>
      <c r="M90" s="19">
        <f t="shared" ref="M90:M144" si="46">+(L90/L89)-1</f>
        <v>2.9430148476154994E-3</v>
      </c>
      <c r="N90" s="17">
        <f t="shared" ref="N90:N144" si="47">+U89</f>
        <v>418908875.85282183</v>
      </c>
      <c r="O90" s="17">
        <f t="shared" ref="O90:O144" si="48">+N90*$C$13</f>
        <v>3340438.2029646146</v>
      </c>
      <c r="P90" s="17">
        <f t="shared" ref="P90:P144" si="49">+N90*M90</f>
        <v>1232855.0414327725</v>
      </c>
      <c r="Q90" s="17">
        <f t="shared" ref="Q90:Q144" si="50">+M90*O90</f>
        <v>9830.9592288668973</v>
      </c>
      <c r="R90" s="17">
        <f t="shared" ref="R90:R144" si="51">+Q90+O90+P90</f>
        <v>4583124.2036262536</v>
      </c>
      <c r="S90" s="17">
        <f t="shared" ref="S90:S144" si="52">+N90+R90</f>
        <v>423492000.0564481</v>
      </c>
      <c r="T90" s="17">
        <f>+F90*L90</f>
        <v>9466066.178183388</v>
      </c>
      <c r="U90" s="17">
        <f t="shared" ref="U90:U144" si="53">+S90-T90</f>
        <v>414025933.87826473</v>
      </c>
      <c r="V90" s="17">
        <f t="shared" ref="V90:V144" si="54">+T90-R90</f>
        <v>4882941.9745571343</v>
      </c>
      <c r="W90" s="16">
        <f>-F90</f>
        <v>-20379.532695807367</v>
      </c>
      <c r="X90" s="16">
        <f t="shared" ref="X90:X144" si="55">-T90</f>
        <v>-9466066.178183388</v>
      </c>
      <c r="Y90" s="16"/>
      <c r="Z90" s="16"/>
      <c r="AA90" s="2">
        <v>66</v>
      </c>
      <c r="AB90" s="20">
        <v>513.38953601739911</v>
      </c>
      <c r="AC90" s="19">
        <f t="shared" ref="AC90:AC144" si="56">+(AB90/AB89)-1</f>
        <v>4.7176666275134949E-3</v>
      </c>
      <c r="AD90" s="17">
        <f t="shared" ref="AD90:AD144" si="57">+AK89</f>
        <v>462193122.79192901</v>
      </c>
      <c r="AE90" s="17">
        <f t="shared" ref="AE90:AE144" si="58">+AD90*$C$13</f>
        <v>3685592.8664164031</v>
      </c>
      <c r="AF90" s="17">
        <f t="shared" ref="AF90:AF144" si="59">+AD90*AC90</f>
        <v>2180473.0708617303</v>
      </c>
      <c r="AG90" s="17">
        <f t="shared" ref="AG90:AG144" si="60">+AC90*AE90</f>
        <v>17387.398468494466</v>
      </c>
      <c r="AH90" s="17">
        <f t="shared" ref="AH90:AH144" si="61">+AG90+AE90+AF90</f>
        <v>5883453.3357466273</v>
      </c>
      <c r="AI90" s="17">
        <f t="shared" ref="AI90:AI144" si="62">+AD90+AH90</f>
        <v>468076576.12767565</v>
      </c>
      <c r="AJ90" s="17">
        <f>+AB90*F90</f>
        <v>10462638.83495196</v>
      </c>
      <c r="AK90" s="17">
        <f t="shared" ref="AK90:AK144" si="63">+AI90-AJ90</f>
        <v>457613937.29272372</v>
      </c>
      <c r="AL90" s="17">
        <f t="shared" ref="AL90:AL144" si="64">+AJ90-AH90</f>
        <v>4579185.4992053322</v>
      </c>
      <c r="AM90" s="16">
        <f>-F90</f>
        <v>-20379.532695807367</v>
      </c>
      <c r="AN90" s="16">
        <f t="shared" ref="AN90:AN144" si="65">-AJ90</f>
        <v>-10462638.83495196</v>
      </c>
      <c r="AQ90" s="2">
        <v>66</v>
      </c>
      <c r="AR90" s="20">
        <v>490.76670954827341</v>
      </c>
      <c r="AS90" s="19">
        <f t="shared" ref="AS90:AS144" si="66">+(AR90/AR89)-1</f>
        <v>5.7571969549266022E-3</v>
      </c>
      <c r="AT90" s="17">
        <f t="shared" ref="AT90:AT144" si="67">+BA89</f>
        <v>441369635.10141915</v>
      </c>
      <c r="AU90" s="17">
        <f t="shared" ref="AU90:AU144" si="68">+AT90*$C$13</f>
        <v>3519543.4513527285</v>
      </c>
      <c r="AV90" s="17">
        <f t="shared" ref="AV90:AV144" si="69">+AT90*AS90</f>
        <v>2541051.9192029559</v>
      </c>
      <c r="AW90" s="17">
        <f t="shared" ref="AW90:AW144" si="70">+AS90*AU90</f>
        <v>20262.704840859791</v>
      </c>
      <c r="AX90" s="17">
        <f t="shared" ref="AX90:AX144" si="71">+AW90+AU90+AV90</f>
        <v>6080858.0753965443</v>
      </c>
      <c r="AY90" s="17">
        <f t="shared" ref="AY90:AY144" si="72">+AT90+AX90</f>
        <v>447450493.17681569</v>
      </c>
      <c r="AZ90" s="17">
        <f>+AR90*F90</f>
        <v>10001596.203252835</v>
      </c>
      <c r="BA90" s="17">
        <f t="shared" ref="BA90:BA144" si="73">+AY90-AZ90</f>
        <v>437448896.97356284</v>
      </c>
      <c r="BB90" s="17">
        <f t="shared" ref="BB90:BB144" si="74">+AZ90-AX90</f>
        <v>3920738.1278562909</v>
      </c>
      <c r="BC90" s="16">
        <f t="shared" ref="BC90:BC144" si="75">-V90</f>
        <v>-4882941.9745571343</v>
      </c>
      <c r="BD90" s="16">
        <f t="shared" ref="BD90:BD144" si="76">-AZ90</f>
        <v>-10001596.203252835</v>
      </c>
    </row>
    <row r="91" spans="2:56" x14ac:dyDescent="0.35">
      <c r="B91" s="2">
        <v>67</v>
      </c>
      <c r="C91" s="17">
        <f t="shared" si="40"/>
        <v>891358.13098694687</v>
      </c>
      <c r="D91" s="18">
        <f t="shared" si="45"/>
        <v>7107.81490893511</v>
      </c>
      <c r="E91" s="17">
        <f t="shared" si="41"/>
        <v>898465.94589588197</v>
      </c>
      <c r="F91" s="18">
        <f t="shared" si="42"/>
        <v>20379.532695807367</v>
      </c>
      <c r="G91" s="17">
        <f t="shared" si="43"/>
        <v>878086.41320007457</v>
      </c>
      <c r="H91" s="17">
        <f t="shared" si="44"/>
        <v>13271.717786872257</v>
      </c>
      <c r="I91" s="16"/>
      <c r="J91" s="16"/>
      <c r="K91" s="2">
        <v>67</v>
      </c>
      <c r="L91" s="2">
        <v>465.85185958060788</v>
      </c>
      <c r="M91" s="19">
        <f t="shared" si="46"/>
        <v>2.9343789721534286E-3</v>
      </c>
      <c r="N91" s="17">
        <f t="shared" si="47"/>
        <v>414025933.87826473</v>
      </c>
      <c r="O91" s="17">
        <f t="shared" si="48"/>
        <v>3301500.9379533073</v>
      </c>
      <c r="P91" s="17">
        <f t="shared" si="49"/>
        <v>1214908.9942985659</v>
      </c>
      <c r="Q91" s="17">
        <f t="shared" si="50"/>
        <v>9687.8549288750055</v>
      </c>
      <c r="R91" s="17">
        <f t="shared" si="51"/>
        <v>4526097.7871807478</v>
      </c>
      <c r="S91" s="17">
        <f t="shared" si="52"/>
        <v>418552031.66544545</v>
      </c>
      <c r="T91" s="17">
        <f>+F91*L91</f>
        <v>9493843.2037256602</v>
      </c>
      <c r="U91" s="17">
        <f t="shared" si="53"/>
        <v>409058188.46171981</v>
      </c>
      <c r="V91" s="17">
        <f t="shared" si="54"/>
        <v>4967745.4165449124</v>
      </c>
      <c r="W91" s="16">
        <f>-F91</f>
        <v>-20379.532695807367</v>
      </c>
      <c r="X91" s="16">
        <f t="shared" si="55"/>
        <v>-9493843.2037256602</v>
      </c>
      <c r="Y91" s="16"/>
      <c r="Z91" s="16"/>
      <c r="AA91" s="2">
        <v>67</v>
      </c>
      <c r="AB91" s="20">
        <v>515.81153669838284</v>
      </c>
      <c r="AC91" s="19">
        <f t="shared" si="56"/>
        <v>4.7176666275130508E-3</v>
      </c>
      <c r="AD91" s="17">
        <f t="shared" si="57"/>
        <v>457613937.29272372</v>
      </c>
      <c r="AE91" s="17">
        <f t="shared" si="58"/>
        <v>3649077.7981957402</v>
      </c>
      <c r="AF91" s="17">
        <f t="shared" si="59"/>
        <v>2158870.0002507325</v>
      </c>
      <c r="AG91" s="17">
        <f t="shared" si="60"/>
        <v>17215.132549746846</v>
      </c>
      <c r="AH91" s="17">
        <f t="shared" si="61"/>
        <v>5825162.9309962196</v>
      </c>
      <c r="AI91" s="17">
        <f t="shared" si="62"/>
        <v>463439100.22371995</v>
      </c>
      <c r="AJ91" s="17">
        <f>+AB91*F91</f>
        <v>10511998.077019336</v>
      </c>
      <c r="AK91" s="17">
        <f t="shared" si="63"/>
        <v>452927102.14670062</v>
      </c>
      <c r="AL91" s="17">
        <f t="shared" si="64"/>
        <v>4686835.1460231161</v>
      </c>
      <c r="AM91" s="16">
        <f>-F91</f>
        <v>-20379.532695807367</v>
      </c>
      <c r="AN91" s="16">
        <f t="shared" si="65"/>
        <v>-10511998.077019336</v>
      </c>
      <c r="AQ91" s="2">
        <v>67</v>
      </c>
      <c r="AR91" s="20">
        <v>493.18581044192661</v>
      </c>
      <c r="AS91" s="19">
        <f t="shared" si="66"/>
        <v>4.929227770726019E-3</v>
      </c>
      <c r="AT91" s="17">
        <f t="shared" si="67"/>
        <v>437448896.97356284</v>
      </c>
      <c r="AU91" s="17">
        <f t="shared" si="68"/>
        <v>3488278.934936245</v>
      </c>
      <c r="AV91" s="17">
        <f t="shared" si="69"/>
        <v>2156285.2512355512</v>
      </c>
      <c r="AW91" s="17">
        <f t="shared" si="70"/>
        <v>17194.521398126319</v>
      </c>
      <c r="AX91" s="17">
        <f t="shared" si="71"/>
        <v>5661758.7075699223</v>
      </c>
      <c r="AY91" s="17">
        <f t="shared" si="72"/>
        <v>443110655.68113273</v>
      </c>
      <c r="AZ91" s="17">
        <f>+AR91*F91</f>
        <v>10050896.349009497</v>
      </c>
      <c r="BA91" s="17">
        <f t="shared" si="73"/>
        <v>433059759.33212322</v>
      </c>
      <c r="BB91" s="17">
        <f t="shared" si="74"/>
        <v>4389137.6414395748</v>
      </c>
      <c r="BC91" s="16">
        <f t="shared" si="75"/>
        <v>-4967745.4165449124</v>
      </c>
      <c r="BD91" s="16">
        <f t="shared" si="76"/>
        <v>-10050896.349009497</v>
      </c>
    </row>
    <row r="92" spans="2:56" x14ac:dyDescent="0.35">
      <c r="B92" s="2">
        <v>68</v>
      </c>
      <c r="C92" s="17">
        <f t="shared" si="40"/>
        <v>878086.41320007457</v>
      </c>
      <c r="D92" s="18">
        <f t="shared" si="45"/>
        <v>7001.9843675698103</v>
      </c>
      <c r="E92" s="17">
        <f t="shared" si="41"/>
        <v>885088.39756764437</v>
      </c>
      <c r="F92" s="18">
        <f t="shared" si="42"/>
        <v>20379.532695807367</v>
      </c>
      <c r="G92" s="17">
        <f t="shared" si="43"/>
        <v>864708.86487183697</v>
      </c>
      <c r="H92" s="17">
        <f t="shared" si="44"/>
        <v>13377.548328237557</v>
      </c>
      <c r="I92" s="16"/>
      <c r="J92" s="16"/>
      <c r="K92" s="2">
        <v>68</v>
      </c>
      <c r="L92" s="2">
        <v>467.214845821962</v>
      </c>
      <c r="M92" s="19">
        <f t="shared" si="46"/>
        <v>2.9257932823991695E-3</v>
      </c>
      <c r="N92" s="17">
        <f t="shared" si="47"/>
        <v>409058188.46171981</v>
      </c>
      <c r="O92" s="17">
        <f t="shared" si="48"/>
        <v>3261887.438386735</v>
      </c>
      <c r="P92" s="17">
        <f t="shared" si="49"/>
        <v>1196819.6999116733</v>
      </c>
      <c r="Q92" s="17">
        <f t="shared" si="50"/>
        <v>9543.6083551741449</v>
      </c>
      <c r="R92" s="17">
        <f t="shared" si="51"/>
        <v>4468250.7466535829</v>
      </c>
      <c r="S92" s="17">
        <f t="shared" si="52"/>
        <v>413526439.20837337</v>
      </c>
      <c r="T92" s="17">
        <f>+F92*L92</f>
        <v>9521620.2263952736</v>
      </c>
      <c r="U92" s="17">
        <f t="shared" si="53"/>
        <v>404004818.98197812</v>
      </c>
      <c r="V92" s="17">
        <f t="shared" si="54"/>
        <v>5053369.4797416907</v>
      </c>
      <c r="W92" s="16">
        <f>-F92</f>
        <v>-20379.532695807367</v>
      </c>
      <c r="X92" s="16">
        <f t="shared" si="55"/>
        <v>-9521620.2263952736</v>
      </c>
      <c r="Y92" s="16"/>
      <c r="Z92" s="16"/>
      <c r="AA92" s="2">
        <v>68</v>
      </c>
      <c r="AB92" s="20">
        <v>518.24496357115106</v>
      </c>
      <c r="AC92" s="19">
        <f t="shared" si="56"/>
        <v>4.7176666275130508E-3</v>
      </c>
      <c r="AD92" s="17">
        <f t="shared" si="57"/>
        <v>452927102.14670062</v>
      </c>
      <c r="AE92" s="17">
        <f t="shared" si="58"/>
        <v>3611704.3165742303</v>
      </c>
      <c r="AF92" s="17">
        <f t="shared" si="59"/>
        <v>2136759.0744936843</v>
      </c>
      <c r="AG92" s="17">
        <f t="shared" si="60"/>
        <v>17038.816922747075</v>
      </c>
      <c r="AH92" s="17">
        <f t="shared" si="61"/>
        <v>5765502.2079906613</v>
      </c>
      <c r="AI92" s="17">
        <f t="shared" si="62"/>
        <v>458692604.35469127</v>
      </c>
      <c r="AJ92" s="17">
        <f>+AB92*F92</f>
        <v>10561590.179535771</v>
      </c>
      <c r="AK92" s="17">
        <f t="shared" si="63"/>
        <v>448131014.17515552</v>
      </c>
      <c r="AL92" s="17">
        <f t="shared" si="64"/>
        <v>4796087.9715451095</v>
      </c>
      <c r="AM92" s="16">
        <f>-F92</f>
        <v>-20379.532695807367</v>
      </c>
      <c r="AN92" s="16">
        <f t="shared" si="65"/>
        <v>-10561590.179535771</v>
      </c>
      <c r="AQ92" s="2">
        <v>68</v>
      </c>
      <c r="AR92" s="20">
        <v>495.61603967419171</v>
      </c>
      <c r="AS92" s="19">
        <f t="shared" si="66"/>
        <v>4.9276138542742043E-3</v>
      </c>
      <c r="AT92" s="17">
        <f t="shared" si="67"/>
        <v>433059759.33212322</v>
      </c>
      <c r="AU92" s="17">
        <f t="shared" si="68"/>
        <v>3453279.3350216178</v>
      </c>
      <c r="AV92" s="17">
        <f t="shared" si="69"/>
        <v>2133951.2698136228</v>
      </c>
      <c r="AW92" s="17">
        <f t="shared" si="70"/>
        <v>17016.427093931336</v>
      </c>
      <c r="AX92" s="17">
        <f t="shared" si="71"/>
        <v>5604247.0319291726</v>
      </c>
      <c r="AY92" s="17">
        <f t="shared" si="72"/>
        <v>438664006.36405241</v>
      </c>
      <c r="AZ92" s="17">
        <f>+AR92*F92</f>
        <v>10100423.285106752</v>
      </c>
      <c r="BA92" s="17">
        <f t="shared" si="73"/>
        <v>428563583.07894564</v>
      </c>
      <c r="BB92" s="17">
        <f t="shared" si="74"/>
        <v>4496176.2531775795</v>
      </c>
      <c r="BC92" s="16">
        <f t="shared" si="75"/>
        <v>-5053369.4797416907</v>
      </c>
      <c r="BD92" s="16">
        <f t="shared" si="76"/>
        <v>-10100423.285106752</v>
      </c>
    </row>
    <row r="93" spans="2:56" x14ac:dyDescent="0.35">
      <c r="B93" s="2">
        <v>69</v>
      </c>
      <c r="C93" s="17">
        <f t="shared" si="40"/>
        <v>864708.86487183697</v>
      </c>
      <c r="D93" s="18">
        <f t="shared" si="45"/>
        <v>6895.3099186059972</v>
      </c>
      <c r="E93" s="17">
        <f t="shared" si="41"/>
        <v>871604.17479044292</v>
      </c>
      <c r="F93" s="18">
        <f t="shared" si="42"/>
        <v>20379.532695807367</v>
      </c>
      <c r="G93" s="17">
        <f t="shared" si="43"/>
        <v>851224.64209463552</v>
      </c>
      <c r="H93" s="17">
        <f t="shared" si="44"/>
        <v>13484.22277720137</v>
      </c>
      <c r="I93" s="16"/>
      <c r="J93" s="16"/>
      <c r="K93" s="2">
        <v>69</v>
      </c>
      <c r="L93" s="2">
        <v>468.57783227191783</v>
      </c>
      <c r="M93" s="19">
        <f t="shared" si="46"/>
        <v>2.9172584350523056E-3</v>
      </c>
      <c r="N93" s="17">
        <f t="shared" si="47"/>
        <v>404004818.98197812</v>
      </c>
      <c r="O93" s="17">
        <f t="shared" si="48"/>
        <v>3221591.1605161387</v>
      </c>
      <c r="P93" s="17">
        <f t="shared" si="49"/>
        <v>1178586.4659769556</v>
      </c>
      <c r="Q93" s="17">
        <f t="shared" si="50"/>
        <v>9398.2139873056512</v>
      </c>
      <c r="R93" s="17">
        <f t="shared" si="51"/>
        <v>4409575.8404804002</v>
      </c>
      <c r="S93" s="17">
        <f t="shared" si="52"/>
        <v>408414394.82245851</v>
      </c>
      <c r="T93" s="17">
        <f>+F93*L93</f>
        <v>9549397.2533160895</v>
      </c>
      <c r="U93" s="17">
        <f t="shared" si="53"/>
        <v>398864997.5691424</v>
      </c>
      <c r="V93" s="17">
        <f t="shared" si="54"/>
        <v>5139821.4128356893</v>
      </c>
      <c r="W93" s="16">
        <f>-F93</f>
        <v>-20379.532695807367</v>
      </c>
      <c r="X93" s="16">
        <f t="shared" si="55"/>
        <v>-9549397.2533160895</v>
      </c>
      <c r="Y93" s="16"/>
      <c r="Z93" s="16"/>
      <c r="AA93" s="2">
        <v>69</v>
      </c>
      <c r="AB93" s="20">
        <v>520.68987054066758</v>
      </c>
      <c r="AC93" s="19">
        <f t="shared" si="56"/>
        <v>4.7176666275134949E-3</v>
      </c>
      <c r="AD93" s="17">
        <f t="shared" si="57"/>
        <v>448131014.17515552</v>
      </c>
      <c r="AE93" s="17">
        <f t="shared" si="58"/>
        <v>3573459.6375797535</v>
      </c>
      <c r="AF93" s="17">
        <f t="shared" si="59"/>
        <v>2114132.7303279079</v>
      </c>
      <c r="AG93" s="17">
        <f t="shared" si="60"/>
        <v>16858.391276976472</v>
      </c>
      <c r="AH93" s="17">
        <f t="shared" si="61"/>
        <v>5704450.759184638</v>
      </c>
      <c r="AI93" s="17">
        <f t="shared" si="62"/>
        <v>453835464.93434018</v>
      </c>
      <c r="AJ93" s="17">
        <f>+AB93*F93</f>
        <v>10611416.24105924</v>
      </c>
      <c r="AK93" s="17">
        <f t="shared" si="63"/>
        <v>443224048.69328094</v>
      </c>
      <c r="AL93" s="17">
        <f t="shared" si="64"/>
        <v>4906965.4818746019</v>
      </c>
      <c r="AM93" s="16">
        <f>-F93</f>
        <v>-20379.532695807367</v>
      </c>
      <c r="AN93" s="16">
        <f t="shared" si="65"/>
        <v>-10611416.24105924</v>
      </c>
      <c r="AQ93" s="2">
        <v>69</v>
      </c>
      <c r="AR93" s="20">
        <v>497.142628499436</v>
      </c>
      <c r="AS93" s="19">
        <f t="shared" si="66"/>
        <v>3.0801844634564812E-3</v>
      </c>
      <c r="AT93" s="17">
        <f t="shared" si="67"/>
        <v>428563583.07894564</v>
      </c>
      <c r="AU93" s="17">
        <f t="shared" si="68"/>
        <v>3417426.1941856775</v>
      </c>
      <c r="AV93" s="17">
        <f t="shared" si="69"/>
        <v>1320054.8902030094</v>
      </c>
      <c r="AW93" s="17">
        <f t="shared" si="70"/>
        <v>10526.303068339936</v>
      </c>
      <c r="AX93" s="17">
        <f t="shared" si="71"/>
        <v>4748007.3874570262</v>
      </c>
      <c r="AY93" s="17">
        <f t="shared" si="72"/>
        <v>433311590.46640265</v>
      </c>
      <c r="AZ93" s="17">
        <f>+AR93*F93</f>
        <v>10131534.451983871</v>
      </c>
      <c r="BA93" s="17">
        <f t="shared" si="73"/>
        <v>423180056.01441878</v>
      </c>
      <c r="BB93" s="17">
        <f t="shared" si="74"/>
        <v>5383527.0645268448</v>
      </c>
      <c r="BC93" s="16">
        <f t="shared" si="75"/>
        <v>-5139821.4128356893</v>
      </c>
      <c r="BD93" s="16">
        <f t="shared" si="76"/>
        <v>-10131534.451983871</v>
      </c>
    </row>
    <row r="94" spans="2:56" x14ac:dyDescent="0.35">
      <c r="B94" s="2">
        <v>70</v>
      </c>
      <c r="C94" s="17">
        <f t="shared" si="40"/>
        <v>851224.64209463552</v>
      </c>
      <c r="D94" s="18">
        <f t="shared" si="45"/>
        <v>6787.7848326059702</v>
      </c>
      <c r="E94" s="17">
        <f t="shared" si="41"/>
        <v>858012.4269272415</v>
      </c>
      <c r="F94" s="18">
        <f t="shared" si="42"/>
        <v>20379.532695807367</v>
      </c>
      <c r="G94" s="17">
        <f t="shared" si="43"/>
        <v>837632.8942314341</v>
      </c>
      <c r="H94" s="17">
        <f t="shared" si="44"/>
        <v>13591.747863201397</v>
      </c>
      <c r="I94" s="16"/>
      <c r="J94" s="16"/>
      <c r="K94" s="2">
        <v>70</v>
      </c>
      <c r="L94" s="2">
        <v>469.94081848769491</v>
      </c>
      <c r="M94" s="19">
        <f t="shared" si="46"/>
        <v>2.9087722933212046E-3</v>
      </c>
      <c r="N94" s="17">
        <f t="shared" si="47"/>
        <v>398864997.5691424</v>
      </c>
      <c r="O94" s="17">
        <f t="shared" si="48"/>
        <v>3180605.5027907002</v>
      </c>
      <c r="P94" s="17">
        <f t="shared" si="49"/>
        <v>1160207.4537047511</v>
      </c>
      <c r="Q94" s="17">
        <f t="shared" si="50"/>
        <v>9251.6571625025481</v>
      </c>
      <c r="R94" s="17">
        <f t="shared" si="51"/>
        <v>4350064.6136579532</v>
      </c>
      <c r="S94" s="17">
        <f t="shared" si="52"/>
        <v>403215062.18280035</v>
      </c>
      <c r="T94" s="17">
        <f>+F94*L94</f>
        <v>9577174.2754644547</v>
      </c>
      <c r="U94" s="17">
        <f t="shared" si="53"/>
        <v>393637887.90733588</v>
      </c>
      <c r="V94" s="17">
        <f t="shared" si="54"/>
        <v>5227109.6618065014</v>
      </c>
      <c r="W94" s="16">
        <f>-F94</f>
        <v>-20379.532695807367</v>
      </c>
      <c r="X94" s="16">
        <f t="shared" si="55"/>
        <v>-9577174.2754644547</v>
      </c>
      <c r="Y94" s="16"/>
      <c r="Z94" s="16"/>
      <c r="AA94" s="2">
        <v>70</v>
      </c>
      <c r="AB94" s="20">
        <v>523.14631176620151</v>
      </c>
      <c r="AC94" s="19">
        <f t="shared" si="56"/>
        <v>4.7176666275132728E-3</v>
      </c>
      <c r="AD94" s="17">
        <f t="shared" si="57"/>
        <v>443224048.69328094</v>
      </c>
      <c r="AE94" s="17">
        <f t="shared" si="58"/>
        <v>3534330.805747502</v>
      </c>
      <c r="AF94" s="17">
        <f t="shared" si="59"/>
        <v>2090983.3030316094</v>
      </c>
      <c r="AG94" s="17">
        <f t="shared" si="60"/>
        <v>16673.794492867088</v>
      </c>
      <c r="AH94" s="17">
        <f t="shared" si="61"/>
        <v>5641987.9032719787</v>
      </c>
      <c r="AI94" s="17">
        <f t="shared" si="62"/>
        <v>448866036.59655291</v>
      </c>
      <c r="AJ94" s="17">
        <f>+AB94*F94</f>
        <v>10661477.365330338</v>
      </c>
      <c r="AK94" s="17">
        <f t="shared" si="63"/>
        <v>438204559.23122257</v>
      </c>
      <c r="AL94" s="17">
        <f t="shared" si="64"/>
        <v>5019489.4620583598</v>
      </c>
      <c r="AM94" s="16">
        <f>-F94</f>
        <v>-20379.532695807367</v>
      </c>
      <c r="AN94" s="16">
        <f t="shared" si="65"/>
        <v>-10661477.365330338</v>
      </c>
      <c r="AQ94" s="2">
        <v>70</v>
      </c>
      <c r="AR94" s="20">
        <v>498.52429763013618</v>
      </c>
      <c r="AS94" s="19">
        <f t="shared" si="66"/>
        <v>2.7792207939814073E-3</v>
      </c>
      <c r="AT94" s="17">
        <f t="shared" si="67"/>
        <v>423180056.01441878</v>
      </c>
      <c r="AU94" s="17">
        <f t="shared" si="68"/>
        <v>3374497.1933703362</v>
      </c>
      <c r="AV94" s="17">
        <f t="shared" si="69"/>
        <v>1176110.8112734894</v>
      </c>
      <c r="AW94" s="17">
        <f t="shared" si="70"/>
        <v>9378.4727690467371</v>
      </c>
      <c r="AX94" s="17">
        <f t="shared" si="71"/>
        <v>4559986.477412872</v>
      </c>
      <c r="AY94" s="17">
        <f t="shared" si="72"/>
        <v>427740042.49183166</v>
      </c>
      <c r="AZ94" s="17">
        <f>+AR94*F94</f>
        <v>10159692.223207764</v>
      </c>
      <c r="BA94" s="17">
        <f t="shared" si="73"/>
        <v>417580350.26862389</v>
      </c>
      <c r="BB94" s="17">
        <f t="shared" si="74"/>
        <v>5599705.7457948923</v>
      </c>
      <c r="BC94" s="16">
        <f t="shared" si="75"/>
        <v>-5227109.6618065014</v>
      </c>
      <c r="BD94" s="16">
        <f t="shared" si="76"/>
        <v>-10159692.223207764</v>
      </c>
    </row>
    <row r="95" spans="2:56" x14ac:dyDescent="0.35">
      <c r="B95" s="2">
        <v>71</v>
      </c>
      <c r="C95" s="17">
        <f t="shared" si="40"/>
        <v>837632.8942314341</v>
      </c>
      <c r="D95" s="18">
        <f t="shared" si="45"/>
        <v>6679.4023264705493</v>
      </c>
      <c r="E95" s="17">
        <f t="shared" si="41"/>
        <v>844312.29655790469</v>
      </c>
      <c r="F95" s="18">
        <f t="shared" si="42"/>
        <v>20379.532695807367</v>
      </c>
      <c r="G95" s="17">
        <f t="shared" si="43"/>
        <v>823932.76386209729</v>
      </c>
      <c r="H95" s="17">
        <f t="shared" si="44"/>
        <v>13700.130369336817</v>
      </c>
      <c r="I95" s="16"/>
      <c r="J95" s="16"/>
      <c r="K95" s="2">
        <v>71</v>
      </c>
      <c r="L95" s="2">
        <v>471.30380493218991</v>
      </c>
      <c r="M95" s="19">
        <f t="shared" si="46"/>
        <v>2.900336363377054E-3</v>
      </c>
      <c r="N95" s="17">
        <f t="shared" si="47"/>
        <v>393637887.90733588</v>
      </c>
      <c r="O95" s="17">
        <f t="shared" si="48"/>
        <v>3138923.7963101752</v>
      </c>
      <c r="P95" s="17">
        <f t="shared" si="49"/>
        <v>1141682.280300587</v>
      </c>
      <c r="Q95" s="17">
        <f t="shared" si="50"/>
        <v>9103.9348283079507</v>
      </c>
      <c r="R95" s="17">
        <f t="shared" si="51"/>
        <v>4289710.0114390701</v>
      </c>
      <c r="S95" s="17">
        <f t="shared" si="52"/>
        <v>397927597.91877496</v>
      </c>
      <c r="T95" s="17">
        <f>+F95*L95</f>
        <v>9604951.3022739813</v>
      </c>
      <c r="U95" s="17">
        <f t="shared" si="53"/>
        <v>388322646.61650097</v>
      </c>
      <c r="V95" s="17">
        <f t="shared" si="54"/>
        <v>5315241.2908349112</v>
      </c>
      <c r="W95" s="16">
        <f>-F95</f>
        <v>-20379.532695807367</v>
      </c>
      <c r="X95" s="16">
        <f t="shared" si="55"/>
        <v>-9604951.3022739813</v>
      </c>
      <c r="Y95" s="16"/>
      <c r="Z95" s="16"/>
      <c r="AA95" s="2">
        <v>71</v>
      </c>
      <c r="AB95" s="20">
        <v>525.61434166252752</v>
      </c>
      <c r="AC95" s="19">
        <f t="shared" si="56"/>
        <v>4.7176666275132728E-3</v>
      </c>
      <c r="AD95" s="17">
        <f t="shared" si="57"/>
        <v>438204559.23122257</v>
      </c>
      <c r="AE95" s="17">
        <f t="shared" si="58"/>
        <v>3494304.691895646</v>
      </c>
      <c r="AF95" s="17">
        <f t="shared" si="59"/>
        <v>2067303.025109302</v>
      </c>
      <c r="AG95" s="17">
        <f t="shared" si="60"/>
        <v>16484.964631319137</v>
      </c>
      <c r="AH95" s="17">
        <f t="shared" si="61"/>
        <v>5578092.6816362673</v>
      </c>
      <c r="AI95" s="17">
        <f t="shared" si="62"/>
        <v>443782651.91285884</v>
      </c>
      <c r="AJ95" s="17">
        <f>+AB95*F95</f>
        <v>10711774.661296744</v>
      </c>
      <c r="AK95" s="17">
        <f t="shared" si="63"/>
        <v>433070877.25156212</v>
      </c>
      <c r="AL95" s="17">
        <f t="shared" si="64"/>
        <v>5133681.9796604766</v>
      </c>
      <c r="AM95" s="16">
        <f>-F95</f>
        <v>-20379.532695807367</v>
      </c>
      <c r="AN95" s="16">
        <f t="shared" si="65"/>
        <v>-10711774.661296744</v>
      </c>
      <c r="AQ95" s="2">
        <v>71</v>
      </c>
      <c r="AR95" s="20">
        <v>499.88479615313679</v>
      </c>
      <c r="AS95" s="19">
        <f t="shared" si="66"/>
        <v>2.7290515817746108E-3</v>
      </c>
      <c r="AT95" s="17">
        <f t="shared" si="67"/>
        <v>417580350.26862389</v>
      </c>
      <c r="AU95" s="17">
        <f t="shared" si="68"/>
        <v>3329844.3533928287</v>
      </c>
      <c r="AV95" s="17">
        <f t="shared" si="69"/>
        <v>1139598.315418584</v>
      </c>
      <c r="AW95" s="17">
        <f t="shared" si="70"/>
        <v>9087.316999689956</v>
      </c>
      <c r="AX95" s="17">
        <f t="shared" si="71"/>
        <v>4478529.9858111031</v>
      </c>
      <c r="AY95" s="17">
        <f t="shared" si="72"/>
        <v>422058880.254435</v>
      </c>
      <c r="AZ95" s="17">
        <f>+AR95*F95</f>
        <v>10187418.547339853</v>
      </c>
      <c r="BA95" s="17">
        <f t="shared" si="73"/>
        <v>411871461.70709515</v>
      </c>
      <c r="BB95" s="17">
        <f t="shared" si="74"/>
        <v>5708888.5615287498</v>
      </c>
      <c r="BC95" s="16">
        <f t="shared" si="75"/>
        <v>-5315241.2908349112</v>
      </c>
      <c r="BD95" s="16">
        <f t="shared" si="76"/>
        <v>-10187418.547339853</v>
      </c>
    </row>
    <row r="96" spans="2:56" x14ac:dyDescent="0.35">
      <c r="B96" s="2">
        <v>72</v>
      </c>
      <c r="C96" s="17">
        <f t="shared" si="40"/>
        <v>823932.76386209729</v>
      </c>
      <c r="D96" s="18">
        <f t="shared" si="45"/>
        <v>6570.1555630111689</v>
      </c>
      <c r="E96" s="17">
        <f t="shared" si="41"/>
        <v>830502.91942510847</v>
      </c>
      <c r="F96" s="18">
        <f t="shared" si="42"/>
        <v>20379.532695807367</v>
      </c>
      <c r="G96" s="17">
        <f t="shared" si="43"/>
        <v>810123.38672930107</v>
      </c>
      <c r="H96" s="17">
        <f t="shared" si="44"/>
        <v>13809.377132796199</v>
      </c>
      <c r="I96" s="16"/>
      <c r="J96" s="16"/>
      <c r="K96" s="2">
        <v>72</v>
      </c>
      <c r="L96" s="2">
        <v>472.66679117395751</v>
      </c>
      <c r="M96" s="19">
        <f t="shared" si="46"/>
        <v>2.8919483091456311E-3</v>
      </c>
      <c r="N96" s="17">
        <f t="shared" si="47"/>
        <v>388322646.61650097</v>
      </c>
      <c r="O96" s="17">
        <f t="shared" si="48"/>
        <v>3096539.31584355</v>
      </c>
      <c r="P96" s="17">
        <f t="shared" si="49"/>
        <v>1123009.0212855465</v>
      </c>
      <c r="Q96" s="17">
        <f t="shared" si="50"/>
        <v>8955.0316386567229</v>
      </c>
      <c r="R96" s="17">
        <f t="shared" si="51"/>
        <v>4228503.3687677532</v>
      </c>
      <c r="S96" s="17">
        <f t="shared" si="52"/>
        <v>392551149.98526871</v>
      </c>
      <c r="T96" s="17">
        <f>+F96*L96</f>
        <v>9632728.3249520194</v>
      </c>
      <c r="U96" s="17">
        <f t="shared" si="53"/>
        <v>382918421.66031671</v>
      </c>
      <c r="V96" s="17">
        <f t="shared" si="54"/>
        <v>5404224.9561842661</v>
      </c>
      <c r="W96" s="16">
        <f>-F96</f>
        <v>-20379.532695807367</v>
      </c>
      <c r="X96" s="16">
        <f t="shared" si="55"/>
        <v>-9632728.3249520194</v>
      </c>
      <c r="Y96" s="16"/>
      <c r="Z96" s="16"/>
      <c r="AA96" s="2">
        <v>72</v>
      </c>
      <c r="AB96" s="20">
        <v>528.09401490113123</v>
      </c>
      <c r="AC96" s="19">
        <f t="shared" si="56"/>
        <v>4.7176666275132728E-3</v>
      </c>
      <c r="AD96" s="17">
        <f t="shared" si="57"/>
        <v>433070877.25156212</v>
      </c>
      <c r="AE96" s="17">
        <f t="shared" si="58"/>
        <v>3453367.9908725009</v>
      </c>
      <c r="AF96" s="17">
        <f t="shared" si="59"/>
        <v>2043084.0249575917</v>
      </c>
      <c r="AG96" s="17">
        <f t="shared" si="60"/>
        <v>16291.838923061758</v>
      </c>
      <c r="AH96" s="17">
        <f t="shared" si="61"/>
        <v>5512743.8547531543</v>
      </c>
      <c r="AI96" s="17">
        <f t="shared" si="62"/>
        <v>438583621.10631526</v>
      </c>
      <c r="AJ96" s="17">
        <f>+AB96*F96</f>
        <v>10762309.243137786</v>
      </c>
      <c r="AK96" s="17">
        <f t="shared" si="63"/>
        <v>427821311.86317748</v>
      </c>
      <c r="AL96" s="17">
        <f t="shared" si="64"/>
        <v>5249565.3883846318</v>
      </c>
      <c r="AM96" s="16">
        <f>-F96</f>
        <v>-20379.532695807367</v>
      </c>
      <c r="AN96" s="16">
        <f t="shared" si="65"/>
        <v>-10762309.243137786</v>
      </c>
      <c r="AQ96" s="2">
        <v>72</v>
      </c>
      <c r="AR96" s="20">
        <v>502.05424800007131</v>
      </c>
      <c r="AS96" s="19">
        <f t="shared" si="66"/>
        <v>4.3399036410580738E-3</v>
      </c>
      <c r="AT96" s="17">
        <f t="shared" si="67"/>
        <v>411871461.70709515</v>
      </c>
      <c r="AU96" s="17">
        <f t="shared" si="68"/>
        <v>3284320.874310236</v>
      </c>
      <c r="AV96" s="17">
        <f t="shared" si="69"/>
        <v>1787482.4563105332</v>
      </c>
      <c r="AW96" s="17">
        <f t="shared" si="70"/>
        <v>14253.63612082203</v>
      </c>
      <c r="AX96" s="17">
        <f t="shared" si="71"/>
        <v>5086056.9667415908</v>
      </c>
      <c r="AY96" s="17">
        <f t="shared" si="72"/>
        <v>416957518.67383671</v>
      </c>
      <c r="AZ96" s="17">
        <f>+AR96*F96</f>
        <v>10231630.962186433</v>
      </c>
      <c r="BA96" s="17">
        <f t="shared" si="73"/>
        <v>406725887.71165025</v>
      </c>
      <c r="BB96" s="17">
        <f t="shared" si="74"/>
        <v>5145573.9954448426</v>
      </c>
      <c r="BC96" s="16">
        <f t="shared" si="75"/>
        <v>-5404224.9561842661</v>
      </c>
      <c r="BD96" s="16">
        <f t="shared" si="76"/>
        <v>-10231630.962186433</v>
      </c>
    </row>
    <row r="97" spans="2:56" x14ac:dyDescent="0.35">
      <c r="B97" s="2">
        <v>73</v>
      </c>
      <c r="C97" s="17">
        <f t="shared" si="40"/>
        <v>810123.38672930107</v>
      </c>
      <c r="D97" s="18">
        <f t="shared" si="45"/>
        <v>6460.0376505185586</v>
      </c>
      <c r="E97" s="17">
        <f t="shared" si="41"/>
        <v>816583.42437981965</v>
      </c>
      <c r="F97" s="18">
        <f t="shared" si="42"/>
        <v>20379.532695807367</v>
      </c>
      <c r="G97" s="17">
        <f t="shared" si="43"/>
        <v>796203.89168401225</v>
      </c>
      <c r="H97" s="17">
        <f t="shared" si="44"/>
        <v>13919.495045288808</v>
      </c>
      <c r="I97" s="16"/>
      <c r="J97" s="16"/>
      <c r="K97" s="2">
        <v>73</v>
      </c>
      <c r="L97" s="2">
        <v>474.02977758106329</v>
      </c>
      <c r="M97" s="19">
        <f t="shared" si="46"/>
        <v>2.8836094105966215E-3</v>
      </c>
      <c r="N97" s="17">
        <f t="shared" si="47"/>
        <v>382918421.66031671</v>
      </c>
      <c r="O97" s="17">
        <f t="shared" si="48"/>
        <v>3053445.2671335503</v>
      </c>
      <c r="P97" s="17">
        <f t="shared" si="49"/>
        <v>1104187.1641904945</v>
      </c>
      <c r="Q97" s="17">
        <f t="shared" si="50"/>
        <v>8804.9435070480195</v>
      </c>
      <c r="R97" s="17">
        <f t="shared" si="51"/>
        <v>4166437.3748310925</v>
      </c>
      <c r="S97" s="17">
        <f t="shared" si="52"/>
        <v>387084859.03514779</v>
      </c>
      <c r="T97" s="17">
        <f>+F97*L97</f>
        <v>9660505.3509995732</v>
      </c>
      <c r="U97" s="17">
        <f t="shared" si="53"/>
        <v>377424353.68414819</v>
      </c>
      <c r="V97" s="17">
        <f t="shared" si="54"/>
        <v>5494067.9761684807</v>
      </c>
      <c r="W97" s="16">
        <f>-F97</f>
        <v>-20379.532695807367</v>
      </c>
      <c r="X97" s="16">
        <f t="shared" si="55"/>
        <v>-9660505.3509995732</v>
      </c>
      <c r="Y97" s="16"/>
      <c r="Z97" s="16"/>
      <c r="AA97" s="2">
        <v>73</v>
      </c>
      <c r="AB97" s="20">
        <v>530.58538641141979</v>
      </c>
      <c r="AC97" s="19">
        <f t="shared" si="56"/>
        <v>4.7176666275132728E-3</v>
      </c>
      <c r="AD97" s="17">
        <f t="shared" si="57"/>
        <v>427821311.86317748</v>
      </c>
      <c r="AE97" s="17">
        <f t="shared" si="58"/>
        <v>3411507.2192748091</v>
      </c>
      <c r="AF97" s="17">
        <f t="shared" si="59"/>
        <v>2018318.3255158607</v>
      </c>
      <c r="AG97" s="17">
        <f t="shared" si="60"/>
        <v>16094.353757893372</v>
      </c>
      <c r="AH97" s="17">
        <f t="shared" si="61"/>
        <v>5445919.898548563</v>
      </c>
      <c r="AI97" s="17">
        <f t="shared" si="62"/>
        <v>433267231.76172602</v>
      </c>
      <c r="AJ97" s="17">
        <f>+AB97*F97</f>
        <v>10813082.230289117</v>
      </c>
      <c r="AK97" s="17">
        <f t="shared" si="63"/>
        <v>422454149.53143692</v>
      </c>
      <c r="AL97" s="17">
        <f t="shared" si="64"/>
        <v>5367162.3317405535</v>
      </c>
      <c r="AM97" s="16">
        <f>-F97</f>
        <v>-20379.532695807367</v>
      </c>
      <c r="AN97" s="16">
        <f t="shared" si="65"/>
        <v>-10813082.230289117</v>
      </c>
      <c r="AQ97" s="2">
        <v>73</v>
      </c>
      <c r="AR97" s="20">
        <v>503.59445040634688</v>
      </c>
      <c r="AS97" s="19">
        <f t="shared" si="66"/>
        <v>3.067800765377271E-3</v>
      </c>
      <c r="AT97" s="17">
        <f t="shared" si="67"/>
        <v>406725887.71165025</v>
      </c>
      <c r="AU97" s="17">
        <f t="shared" si="68"/>
        <v>3243289.344683243</v>
      </c>
      <c r="AV97" s="17">
        <f t="shared" si="69"/>
        <v>1247753.9896205505</v>
      </c>
      <c r="AW97" s="17">
        <f t="shared" si="70"/>
        <v>9949.7655339592002</v>
      </c>
      <c r="AX97" s="17">
        <f t="shared" si="71"/>
        <v>4500993.0998377521</v>
      </c>
      <c r="AY97" s="17">
        <f t="shared" si="72"/>
        <v>411226880.81148803</v>
      </c>
      <c r="AZ97" s="17">
        <f>+AR97*F97</f>
        <v>10263019.567483287</v>
      </c>
      <c r="BA97" s="17">
        <f t="shared" si="73"/>
        <v>400963861.24400473</v>
      </c>
      <c r="BB97" s="17">
        <f t="shared" si="74"/>
        <v>5762026.4676455352</v>
      </c>
      <c r="BC97" s="16">
        <f t="shared" si="75"/>
        <v>-5494067.9761684807</v>
      </c>
      <c r="BD97" s="16">
        <f t="shared" si="76"/>
        <v>-10263019.567483287</v>
      </c>
    </row>
    <row r="98" spans="2:56" x14ac:dyDescent="0.35">
      <c r="B98" s="2">
        <v>74</v>
      </c>
      <c r="C98" s="17">
        <f t="shared" si="40"/>
        <v>796203.89168401225</v>
      </c>
      <c r="D98" s="18">
        <f t="shared" si="45"/>
        <v>6349.0416423279958</v>
      </c>
      <c r="E98" s="17">
        <f t="shared" si="41"/>
        <v>802552.93332634028</v>
      </c>
      <c r="F98" s="18">
        <f t="shared" si="42"/>
        <v>20379.532695807367</v>
      </c>
      <c r="G98" s="17">
        <f t="shared" si="43"/>
        <v>782173.40063053288</v>
      </c>
      <c r="H98" s="17">
        <f t="shared" si="44"/>
        <v>14030.491053479371</v>
      </c>
      <c r="I98" s="16"/>
      <c r="J98" s="16"/>
      <c r="K98" s="2">
        <v>74</v>
      </c>
      <c r="L98" s="2">
        <v>475.39276386431209</v>
      </c>
      <c r="M98" s="19">
        <f t="shared" si="46"/>
        <v>2.8753178549330016E-3</v>
      </c>
      <c r="N98" s="17">
        <f t="shared" si="47"/>
        <v>377424353.68414819</v>
      </c>
      <c r="O98" s="17">
        <f t="shared" si="48"/>
        <v>3009634.7975656395</v>
      </c>
      <c r="P98" s="17">
        <f t="shared" si="49"/>
        <v>1085214.9830345795</v>
      </c>
      <c r="Q98" s="17">
        <f t="shared" si="50"/>
        <v>8653.6566702681539</v>
      </c>
      <c r="R98" s="17">
        <f t="shared" si="51"/>
        <v>4103503.4372704872</v>
      </c>
      <c r="S98" s="17">
        <f t="shared" si="52"/>
        <v>381527857.12141865</v>
      </c>
      <c r="T98" s="17">
        <f>+F98*L98</f>
        <v>9688282.3745229784</v>
      </c>
      <c r="U98" s="17">
        <f t="shared" si="53"/>
        <v>371839574.74689567</v>
      </c>
      <c r="V98" s="17">
        <f t="shared" si="54"/>
        <v>5584778.9372524917</v>
      </c>
      <c r="W98" s="16">
        <f>-F98</f>
        <v>-20379.532695807367</v>
      </c>
      <c r="X98" s="16">
        <f t="shared" si="55"/>
        <v>-9688282.3745229784</v>
      </c>
      <c r="Y98" s="16"/>
      <c r="Z98" s="16"/>
      <c r="AA98" s="2">
        <v>74</v>
      </c>
      <c r="AB98" s="20">
        <v>533.08851138193916</v>
      </c>
      <c r="AC98" s="19">
        <f t="shared" si="56"/>
        <v>4.7176666275132728E-3</v>
      </c>
      <c r="AD98" s="17">
        <f t="shared" si="57"/>
        <v>422454149.53143692</v>
      </c>
      <c r="AE98" s="17">
        <f t="shared" si="58"/>
        <v>3368708.7131367875</v>
      </c>
      <c r="AF98" s="17">
        <f t="shared" si="59"/>
        <v>1992997.8428989619</v>
      </c>
      <c r="AG98" s="17">
        <f t="shared" si="60"/>
        <v>15892.444673778606</v>
      </c>
      <c r="AH98" s="17">
        <f t="shared" si="61"/>
        <v>5377599.0007095281</v>
      </c>
      <c r="AI98" s="17">
        <f t="shared" si="62"/>
        <v>427831748.53214645</v>
      </c>
      <c r="AJ98" s="17">
        <f>+AB98*F98</f>
        <v>10864094.747467507</v>
      </c>
      <c r="AK98" s="17">
        <f t="shared" si="63"/>
        <v>416967653.78467894</v>
      </c>
      <c r="AL98" s="17">
        <f t="shared" si="64"/>
        <v>5486495.7467579786</v>
      </c>
      <c r="AM98" s="16">
        <f>-F98</f>
        <v>-20379.532695807367</v>
      </c>
      <c r="AN98" s="16">
        <f t="shared" si="65"/>
        <v>-10864094.747467507</v>
      </c>
      <c r="AQ98" s="2">
        <v>74</v>
      </c>
      <c r="AR98" s="20">
        <v>504.45078504574849</v>
      </c>
      <c r="AS98" s="19">
        <f t="shared" si="66"/>
        <v>1.7004449487294515E-3</v>
      </c>
      <c r="AT98" s="17">
        <f t="shared" si="67"/>
        <v>400963861.24400473</v>
      </c>
      <c r="AU98" s="17">
        <f t="shared" si="68"/>
        <v>3197342.1364751775</v>
      </c>
      <c r="AV98" s="17">
        <f t="shared" si="69"/>
        <v>681816.97247542453</v>
      </c>
      <c r="AW98" s="17">
        <f t="shared" si="70"/>
        <v>5436.9042853290484</v>
      </c>
      <c r="AX98" s="17">
        <f t="shared" si="71"/>
        <v>3884596.0132359308</v>
      </c>
      <c r="AY98" s="17">
        <f t="shared" si="72"/>
        <v>404848457.25724065</v>
      </c>
      <c r="AZ98" s="17">
        <f>+AR98*F98</f>
        <v>10280471.267265525</v>
      </c>
      <c r="BA98" s="17">
        <f t="shared" si="73"/>
        <v>394567985.98997515</v>
      </c>
      <c r="BB98" s="17">
        <f t="shared" si="74"/>
        <v>6395875.2540295944</v>
      </c>
      <c r="BC98" s="16">
        <f t="shared" si="75"/>
        <v>-5584778.9372524917</v>
      </c>
      <c r="BD98" s="16">
        <f t="shared" si="76"/>
        <v>-10280471.267265525</v>
      </c>
    </row>
    <row r="99" spans="2:56" x14ac:dyDescent="0.35">
      <c r="B99" s="2">
        <v>75</v>
      </c>
      <c r="C99" s="17">
        <f t="shared" si="40"/>
        <v>782173.40063053288</v>
      </c>
      <c r="D99" s="18">
        <f t="shared" si="45"/>
        <v>6237.1605363810731</v>
      </c>
      <c r="E99" s="17">
        <f t="shared" si="41"/>
        <v>788410.56116691395</v>
      </c>
      <c r="F99" s="18">
        <f t="shared" si="42"/>
        <v>20379.532695807367</v>
      </c>
      <c r="G99" s="17">
        <f t="shared" si="43"/>
        <v>768031.02847110655</v>
      </c>
      <c r="H99" s="17">
        <f t="shared" si="44"/>
        <v>14142.372159426293</v>
      </c>
      <c r="I99" s="16"/>
      <c r="J99" s="16"/>
      <c r="K99" s="2">
        <v>75</v>
      </c>
      <c r="L99" s="2">
        <v>476.75575023120149</v>
      </c>
      <c r="M99" s="19">
        <f t="shared" si="46"/>
        <v>2.8670742815060102E-3</v>
      </c>
      <c r="N99" s="17">
        <f t="shared" si="47"/>
        <v>371839574.74689567</v>
      </c>
      <c r="O99" s="17">
        <f t="shared" si="48"/>
        <v>2965100.9860556042</v>
      </c>
      <c r="P99" s="17">
        <f t="shared" si="49"/>
        <v>1066091.6816029563</v>
      </c>
      <c r="Q99" s="17">
        <f t="shared" si="50"/>
        <v>8501.1647791881333</v>
      </c>
      <c r="R99" s="17">
        <f t="shared" si="51"/>
        <v>4039693.8324377486</v>
      </c>
      <c r="S99" s="17">
        <f t="shared" si="52"/>
        <v>375879268.57933342</v>
      </c>
      <c r="T99" s="17">
        <f>+F99*L99</f>
        <v>9716059.3997509424</v>
      </c>
      <c r="U99" s="17">
        <f t="shared" si="53"/>
        <v>366163209.17958248</v>
      </c>
      <c r="V99" s="17">
        <f t="shared" si="54"/>
        <v>5676365.5673131943</v>
      </c>
      <c r="W99" s="16">
        <f>-F99</f>
        <v>-20379.532695807367</v>
      </c>
      <c r="X99" s="16">
        <f t="shared" si="55"/>
        <v>-9716059.3997509424</v>
      </c>
      <c r="Y99" s="16"/>
      <c r="Z99" s="16"/>
      <c r="AA99" s="2">
        <v>75</v>
      </c>
      <c r="AB99" s="20">
        <v>535.60344526159656</v>
      </c>
      <c r="AC99" s="19">
        <f t="shared" si="56"/>
        <v>4.7176666275134949E-3</v>
      </c>
      <c r="AD99" s="17">
        <f t="shared" si="57"/>
        <v>416967653.78467894</v>
      </c>
      <c r="AE99" s="17">
        <f t="shared" si="58"/>
        <v>3324958.6255895561</v>
      </c>
      <c r="AF99" s="17">
        <f t="shared" si="59"/>
        <v>1967114.3850125808</v>
      </c>
      <c r="AG99" s="17">
        <f t="shared" si="60"/>
        <v>15686.046345806986</v>
      </c>
      <c r="AH99" s="17">
        <f t="shared" si="61"/>
        <v>5307759.0569479438</v>
      </c>
      <c r="AI99" s="17">
        <f t="shared" si="62"/>
        <v>422275412.84162688</v>
      </c>
      <c r="AJ99" s="17">
        <f>+AB99*F99</f>
        <v>10915347.924695779</v>
      </c>
      <c r="AK99" s="17">
        <f t="shared" si="63"/>
        <v>411360064.91693109</v>
      </c>
      <c r="AL99" s="17">
        <f t="shared" si="64"/>
        <v>5607588.8677478349</v>
      </c>
      <c r="AM99" s="16">
        <f>-F99</f>
        <v>-20379.532695807367</v>
      </c>
      <c r="AN99" s="16">
        <f t="shared" si="65"/>
        <v>-10915347.924695779</v>
      </c>
      <c r="AQ99" s="2">
        <v>75</v>
      </c>
      <c r="AR99" s="20">
        <v>505.11076037770488</v>
      </c>
      <c r="AS99" s="19">
        <f t="shared" si="66"/>
        <v>1.3083046979429636E-3</v>
      </c>
      <c r="AT99" s="17">
        <f t="shared" si="67"/>
        <v>394567985.98997515</v>
      </c>
      <c r="AU99" s="17">
        <f t="shared" si="68"/>
        <v>3146340.529033795</v>
      </c>
      <c r="AV99" s="17">
        <f t="shared" si="69"/>
        <v>516215.14972857793</v>
      </c>
      <c r="AW99" s="17">
        <f t="shared" si="70"/>
        <v>4116.3720954632636</v>
      </c>
      <c r="AX99" s="17">
        <f t="shared" si="71"/>
        <v>3666672.0508578364</v>
      </c>
      <c r="AY99" s="17">
        <f t="shared" si="72"/>
        <v>398234658.040833</v>
      </c>
      <c r="AZ99" s="17">
        <f>+AR99*F99</f>
        <v>10293921.256121557</v>
      </c>
      <c r="BA99" s="17">
        <f t="shared" si="73"/>
        <v>387940736.78471142</v>
      </c>
      <c r="BB99" s="17">
        <f t="shared" si="74"/>
        <v>6627249.2052637208</v>
      </c>
      <c r="BC99" s="16">
        <f t="shared" si="75"/>
        <v>-5676365.5673131943</v>
      </c>
      <c r="BD99" s="16">
        <f t="shared" si="76"/>
        <v>-10293921.256121557</v>
      </c>
    </row>
    <row r="100" spans="2:56" x14ac:dyDescent="0.35">
      <c r="B100" s="2">
        <v>76</v>
      </c>
      <c r="C100" s="17">
        <f t="shared" si="40"/>
        <v>768031.02847110655</v>
      </c>
      <c r="D100" s="18">
        <f t="shared" si="45"/>
        <v>6124.3872747839887</v>
      </c>
      <c r="E100" s="17">
        <f t="shared" si="41"/>
        <v>774155.41574589058</v>
      </c>
      <c r="F100" s="18">
        <f t="shared" si="42"/>
        <v>20379.532695807367</v>
      </c>
      <c r="G100" s="17">
        <f t="shared" si="43"/>
        <v>753775.88305008318</v>
      </c>
      <c r="H100" s="17">
        <f t="shared" si="44"/>
        <v>14255.145421023379</v>
      </c>
      <c r="I100" s="16"/>
      <c r="J100" s="16"/>
      <c r="K100" s="2">
        <v>76</v>
      </c>
      <c r="L100" s="2">
        <v>478.11873654989012</v>
      </c>
      <c r="M100" s="19">
        <f t="shared" si="46"/>
        <v>2.8588775657716337E-3</v>
      </c>
      <c r="N100" s="17">
        <f t="shared" si="47"/>
        <v>366163209.17958248</v>
      </c>
      <c r="O100" s="17">
        <f t="shared" si="48"/>
        <v>2919836.8498960547</v>
      </c>
      <c r="P100" s="17">
        <f t="shared" si="49"/>
        <v>1046815.7841344542</v>
      </c>
      <c r="Q100" s="17">
        <f t="shared" si="50"/>
        <v>8347.4560658811479</v>
      </c>
      <c r="R100" s="17">
        <f t="shared" si="51"/>
        <v>3975000.0900963899</v>
      </c>
      <c r="S100" s="17">
        <f t="shared" si="52"/>
        <v>370138209.26967889</v>
      </c>
      <c r="T100" s="17">
        <f>+F100*L100</f>
        <v>9743836.4239965938</v>
      </c>
      <c r="U100" s="17">
        <f t="shared" si="53"/>
        <v>360394372.84568232</v>
      </c>
      <c r="V100" s="17">
        <f t="shared" si="54"/>
        <v>5768836.3339002039</v>
      </c>
      <c r="W100" s="16">
        <f>-F100</f>
        <v>-20379.532695807367</v>
      </c>
      <c r="X100" s="16">
        <f t="shared" si="55"/>
        <v>-9743836.4239965938</v>
      </c>
      <c r="Y100" s="16"/>
      <c r="Z100" s="16"/>
      <c r="AA100" s="2">
        <v>76</v>
      </c>
      <c r="AB100" s="20">
        <v>538.13024376088822</v>
      </c>
      <c r="AC100" s="19">
        <f t="shared" si="56"/>
        <v>4.7176666275130508E-3</v>
      </c>
      <c r="AD100" s="17">
        <f t="shared" si="57"/>
        <v>411360064.91693109</v>
      </c>
      <c r="AE100" s="17">
        <f t="shared" si="58"/>
        <v>3280242.9244905771</v>
      </c>
      <c r="AF100" s="17">
        <f t="shared" si="59"/>
        <v>1940659.650150208</v>
      </c>
      <c r="AG100" s="17">
        <f t="shared" si="60"/>
        <v>15475.092575005008</v>
      </c>
      <c r="AH100" s="17">
        <f t="shared" si="61"/>
        <v>5236377.6672157897</v>
      </c>
      <c r="AI100" s="17">
        <f t="shared" si="62"/>
        <v>416596442.58414686</v>
      </c>
      <c r="AJ100" s="17">
        <f>+AB100*F100</f>
        <v>10966842.897327811</v>
      </c>
      <c r="AK100" s="17">
        <f t="shared" si="63"/>
        <v>405629599.68681908</v>
      </c>
      <c r="AL100" s="17">
        <f t="shared" si="64"/>
        <v>5730465.2301120209</v>
      </c>
      <c r="AM100" s="16">
        <f>-F100</f>
        <v>-20379.532695807367</v>
      </c>
      <c r="AN100" s="16">
        <f t="shared" si="65"/>
        <v>-10966842.897327811</v>
      </c>
      <c r="AQ100" s="2">
        <v>76</v>
      </c>
      <c r="AR100" s="20">
        <v>506.57641788081509</v>
      </c>
      <c r="AS100" s="19">
        <f t="shared" si="66"/>
        <v>2.9016556725385279E-3</v>
      </c>
      <c r="AT100" s="17">
        <f t="shared" si="67"/>
        <v>387940736.78471142</v>
      </c>
      <c r="AU100" s="17">
        <f t="shared" si="68"/>
        <v>3093493.913213681</v>
      </c>
      <c r="AV100" s="17">
        <f t="shared" si="69"/>
        <v>1125670.4395001337</v>
      </c>
      <c r="AW100" s="17">
        <f t="shared" si="70"/>
        <v>8976.2541612398854</v>
      </c>
      <c r="AX100" s="17">
        <f t="shared" si="71"/>
        <v>4228140.6068750545</v>
      </c>
      <c r="AY100" s="17">
        <f t="shared" si="72"/>
        <v>392168877.39158648</v>
      </c>
      <c r="AZ100" s="17">
        <f>+AR100*F100</f>
        <v>10323790.671127047</v>
      </c>
      <c r="BA100" s="17">
        <f t="shared" si="73"/>
        <v>381845086.72045946</v>
      </c>
      <c r="BB100" s="17">
        <f t="shared" si="74"/>
        <v>6095650.0642519929</v>
      </c>
      <c r="BC100" s="16">
        <f t="shared" si="75"/>
        <v>-5768836.3339002039</v>
      </c>
      <c r="BD100" s="16">
        <f t="shared" si="76"/>
        <v>-10323790.671127047</v>
      </c>
    </row>
    <row r="101" spans="2:56" x14ac:dyDescent="0.35">
      <c r="B101" s="2">
        <v>77</v>
      </c>
      <c r="C101" s="17">
        <f t="shared" si="40"/>
        <v>753775.88305008318</v>
      </c>
      <c r="D101" s="18">
        <f t="shared" si="45"/>
        <v>6010.714743362304</v>
      </c>
      <c r="E101" s="17">
        <f t="shared" si="41"/>
        <v>759786.59779344546</v>
      </c>
      <c r="F101" s="18">
        <f t="shared" si="42"/>
        <v>20379.532695807367</v>
      </c>
      <c r="G101" s="17">
        <f t="shared" si="43"/>
        <v>739407.06509763806</v>
      </c>
      <c r="H101" s="17">
        <f t="shared" si="44"/>
        <v>14368.817952445064</v>
      </c>
      <c r="I101" s="16"/>
      <c r="J101" s="16"/>
      <c r="K101" s="2">
        <v>77</v>
      </c>
      <c r="L101" s="2">
        <v>479.48172288803431</v>
      </c>
      <c r="M101" s="19">
        <f t="shared" si="46"/>
        <v>2.8507277250406915E-3</v>
      </c>
      <c r="N101" s="17">
        <f t="shared" si="47"/>
        <v>360394372.84568232</v>
      </c>
      <c r="O101" s="17">
        <f t="shared" si="48"/>
        <v>2873835.3388581723</v>
      </c>
      <c r="P101" s="17">
        <f t="shared" si="49"/>
        <v>1027386.2306198387</v>
      </c>
      <c r="Q101" s="17">
        <f t="shared" si="50"/>
        <v>8192.5220776847018</v>
      </c>
      <c r="R101" s="17">
        <f t="shared" si="51"/>
        <v>3909414.091555696</v>
      </c>
      <c r="S101" s="17">
        <f t="shared" si="52"/>
        <v>364303786.93723804</v>
      </c>
      <c r="T101" s="17">
        <f>+F101*L101</f>
        <v>9771613.4486387428</v>
      </c>
      <c r="U101" s="17">
        <f t="shared" si="53"/>
        <v>354532173.4885993</v>
      </c>
      <c r="V101" s="17">
        <f t="shared" si="54"/>
        <v>5862199.3570830468</v>
      </c>
      <c r="W101" s="16">
        <f>-F101</f>
        <v>-20379.532695807367</v>
      </c>
      <c r="X101" s="16">
        <f t="shared" si="55"/>
        <v>-9771613.4486387428</v>
      </c>
      <c r="Y101" s="16"/>
      <c r="Z101" s="16"/>
      <c r="AA101" s="2">
        <v>77</v>
      </c>
      <c r="AB101" s="20">
        <v>540.66896285313464</v>
      </c>
      <c r="AC101" s="19">
        <f t="shared" si="56"/>
        <v>4.7176666275134949E-3</v>
      </c>
      <c r="AD101" s="17">
        <f t="shared" si="57"/>
        <v>405629599.68681908</v>
      </c>
      <c r="AE101" s="17">
        <f t="shared" si="58"/>
        <v>3234547.3900227137</v>
      </c>
      <c r="AF101" s="17">
        <f t="shared" si="59"/>
        <v>1913625.2255741647</v>
      </c>
      <c r="AG101" s="17">
        <f t="shared" si="60"/>
        <v>15259.516277021032</v>
      </c>
      <c r="AH101" s="17">
        <f t="shared" si="61"/>
        <v>5163432.1318739001</v>
      </c>
      <c r="AI101" s="17">
        <f t="shared" si="62"/>
        <v>410793031.81869298</v>
      </c>
      <c r="AJ101" s="17">
        <f>+AB101*F101</f>
        <v>11018580.806073716</v>
      </c>
      <c r="AK101" s="17">
        <f t="shared" si="63"/>
        <v>399774451.01261926</v>
      </c>
      <c r="AL101" s="17">
        <f t="shared" si="64"/>
        <v>5855148.6741998158</v>
      </c>
      <c r="AM101" s="16">
        <f>-F101</f>
        <v>-20379.532695807367</v>
      </c>
      <c r="AN101" s="16">
        <f t="shared" si="65"/>
        <v>-11018580.806073716</v>
      </c>
      <c r="AQ101" s="2">
        <v>77</v>
      </c>
      <c r="AR101" s="20">
        <v>509.92957537231212</v>
      </c>
      <c r="AS101" s="19">
        <f t="shared" si="66"/>
        <v>6.6192530349604706E-3</v>
      </c>
      <c r="AT101" s="17">
        <f t="shared" si="67"/>
        <v>381845086.72045946</v>
      </c>
      <c r="AU101" s="17">
        <f t="shared" si="68"/>
        <v>3044886.3435958796</v>
      </c>
      <c r="AV101" s="17">
        <f t="shared" si="69"/>
        <v>2527529.2491591452</v>
      </c>
      <c r="AW101" s="17">
        <f t="shared" si="70"/>
        <v>20154.873170956715</v>
      </c>
      <c r="AX101" s="17">
        <f t="shared" si="71"/>
        <v>5592570.4659259813</v>
      </c>
      <c r="AY101" s="17">
        <f t="shared" si="72"/>
        <v>387437657.18638545</v>
      </c>
      <c r="AZ101" s="17">
        <f>+AR101*F101</f>
        <v>10392126.453859203</v>
      </c>
      <c r="BA101" s="17">
        <f t="shared" si="73"/>
        <v>377045530.73252624</v>
      </c>
      <c r="BB101" s="17">
        <f t="shared" si="74"/>
        <v>4799555.9879332213</v>
      </c>
      <c r="BC101" s="16">
        <f t="shared" si="75"/>
        <v>-5862199.3570830468</v>
      </c>
      <c r="BD101" s="16">
        <f t="shared" si="76"/>
        <v>-10392126.453859203</v>
      </c>
    </row>
    <row r="102" spans="2:56" x14ac:dyDescent="0.35">
      <c r="B102" s="2">
        <v>78</v>
      </c>
      <c r="C102" s="17">
        <f t="shared" si="40"/>
        <v>739407.06509763806</v>
      </c>
      <c r="D102" s="18">
        <f t="shared" si="45"/>
        <v>5896.1357712121535</v>
      </c>
      <c r="E102" s="17">
        <f t="shared" si="41"/>
        <v>745303.20086885022</v>
      </c>
      <c r="F102" s="18">
        <f t="shared" si="42"/>
        <v>20379.532695807367</v>
      </c>
      <c r="G102" s="17">
        <f t="shared" si="43"/>
        <v>724923.66817304282</v>
      </c>
      <c r="H102" s="17">
        <f t="shared" si="44"/>
        <v>14483.396924595214</v>
      </c>
      <c r="I102" s="16"/>
      <c r="J102" s="16"/>
      <c r="K102" s="2">
        <v>78</v>
      </c>
      <c r="L102" s="2">
        <v>480.84470922812449</v>
      </c>
      <c r="M102" s="19">
        <f t="shared" si="46"/>
        <v>2.8426241815444619E-3</v>
      </c>
      <c r="N102" s="17">
        <f t="shared" si="47"/>
        <v>354532173.4885993</v>
      </c>
      <c r="O102" s="17">
        <f t="shared" si="48"/>
        <v>2827089.3379625631</v>
      </c>
      <c r="P102" s="17">
        <f t="shared" si="49"/>
        <v>1007801.7294942088</v>
      </c>
      <c r="Q102" s="17">
        <f t="shared" si="50"/>
        <v>8036.3525154789058</v>
      </c>
      <c r="R102" s="17">
        <f t="shared" si="51"/>
        <v>3842927.4199722512</v>
      </c>
      <c r="S102" s="17">
        <f t="shared" si="52"/>
        <v>358375100.90857154</v>
      </c>
      <c r="T102" s="17">
        <f>+F102*L102</f>
        <v>9799390.4733205494</v>
      </c>
      <c r="U102" s="17">
        <f t="shared" si="53"/>
        <v>348575710.435251</v>
      </c>
      <c r="V102" s="17">
        <f t="shared" si="54"/>
        <v>5956463.0533482982</v>
      </c>
      <c r="W102" s="16">
        <f>-F102</f>
        <v>-20379.532695807367</v>
      </c>
      <c r="X102" s="16">
        <f t="shared" si="55"/>
        <v>-9799390.4733205494</v>
      </c>
      <c r="Y102" s="16"/>
      <c r="Z102" s="16"/>
      <c r="AA102" s="2">
        <v>78</v>
      </c>
      <c r="AB102" s="20">
        <v>543.21965877571915</v>
      </c>
      <c r="AC102" s="19">
        <f t="shared" si="56"/>
        <v>4.7176666275134949E-3</v>
      </c>
      <c r="AD102" s="17">
        <f t="shared" si="57"/>
        <v>399774451.01261926</v>
      </c>
      <c r="AE102" s="17">
        <f t="shared" si="58"/>
        <v>3187857.6122625344</v>
      </c>
      <c r="AF102" s="17">
        <f t="shared" si="59"/>
        <v>1886002.5860747623</v>
      </c>
      <c r="AG102" s="17">
        <f t="shared" si="60"/>
        <v>15039.249470635814</v>
      </c>
      <c r="AH102" s="17">
        <f t="shared" si="61"/>
        <v>5088899.4478079323</v>
      </c>
      <c r="AI102" s="17">
        <f t="shared" si="62"/>
        <v>404863350.46042717</v>
      </c>
      <c r="AJ102" s="17">
        <f>+AB102*F102</f>
        <v>11070562.79702509</v>
      </c>
      <c r="AK102" s="17">
        <f t="shared" si="63"/>
        <v>393792787.66340208</v>
      </c>
      <c r="AL102" s="17">
        <f t="shared" si="64"/>
        <v>5981663.3492171578</v>
      </c>
      <c r="AM102" s="16">
        <f>-F102</f>
        <v>-20379.532695807367</v>
      </c>
      <c r="AN102" s="16">
        <f t="shared" si="65"/>
        <v>-11070562.79702509</v>
      </c>
      <c r="AQ102" s="2">
        <v>78</v>
      </c>
      <c r="AR102" s="20">
        <v>512.75733874343564</v>
      </c>
      <c r="AS102" s="19">
        <f t="shared" si="66"/>
        <v>5.5453998114523007E-3</v>
      </c>
      <c r="AT102" s="17">
        <f t="shared" si="67"/>
        <v>377045530.73252624</v>
      </c>
      <c r="AU102" s="17">
        <f t="shared" si="68"/>
        <v>3006614.0101517141</v>
      </c>
      <c r="AV102" s="17">
        <f t="shared" si="69"/>
        <v>2090868.2150330837</v>
      </c>
      <c r="AW102" s="17">
        <f t="shared" si="70"/>
        <v>16672.87676500516</v>
      </c>
      <c r="AX102" s="17">
        <f t="shared" si="71"/>
        <v>5114155.1019498035</v>
      </c>
      <c r="AY102" s="17">
        <f t="shared" si="72"/>
        <v>382159685.83447605</v>
      </c>
      <c r="AZ102" s="17">
        <f>+AR102*F102</f>
        <v>10449754.949937019</v>
      </c>
      <c r="BA102" s="17">
        <f t="shared" si="73"/>
        <v>371709930.88453901</v>
      </c>
      <c r="BB102" s="17">
        <f t="shared" si="74"/>
        <v>5335599.847987216</v>
      </c>
      <c r="BC102" s="16">
        <f t="shared" si="75"/>
        <v>-5956463.0533482982</v>
      </c>
      <c r="BD102" s="16">
        <f t="shared" si="76"/>
        <v>-10449754.949937019</v>
      </c>
    </row>
    <row r="103" spans="2:56" x14ac:dyDescent="0.35">
      <c r="B103" s="2">
        <v>79</v>
      </c>
      <c r="C103" s="17">
        <f t="shared" si="40"/>
        <v>724923.66817304282</v>
      </c>
      <c r="D103" s="18">
        <f t="shared" si="45"/>
        <v>5780.6431302478777</v>
      </c>
      <c r="E103" s="17">
        <f t="shared" si="41"/>
        <v>730704.31130329065</v>
      </c>
      <c r="F103" s="18">
        <f t="shared" si="42"/>
        <v>20379.532695807367</v>
      </c>
      <c r="G103" s="17">
        <f t="shared" si="43"/>
        <v>710324.77860748325</v>
      </c>
      <c r="H103" s="17">
        <f t="shared" si="44"/>
        <v>14598.88956555949</v>
      </c>
      <c r="I103" s="16"/>
      <c r="J103" s="16"/>
      <c r="K103" s="2">
        <v>79</v>
      </c>
      <c r="L103" s="2">
        <v>482.20769555193539</v>
      </c>
      <c r="M103" s="19">
        <f t="shared" si="46"/>
        <v>2.834566540201422E-3</v>
      </c>
      <c r="N103" s="17">
        <f t="shared" si="47"/>
        <v>348575710.435251</v>
      </c>
      <c r="O103" s="17">
        <f t="shared" si="48"/>
        <v>2779591.6651155869</v>
      </c>
      <c r="P103" s="17">
        <f t="shared" si="49"/>
        <v>988061.04552670207</v>
      </c>
      <c r="Q103" s="17">
        <f t="shared" si="50"/>
        <v>7878.9375293593985</v>
      </c>
      <c r="R103" s="17">
        <f t="shared" si="51"/>
        <v>3775531.6481716484</v>
      </c>
      <c r="S103" s="17">
        <f t="shared" si="52"/>
        <v>352351242.08342266</v>
      </c>
      <c r="T103" s="17">
        <f>+F103*L103</f>
        <v>9827167.4976705927</v>
      </c>
      <c r="U103" s="17">
        <f t="shared" si="53"/>
        <v>342524074.58575207</v>
      </c>
      <c r="V103" s="17">
        <f t="shared" si="54"/>
        <v>6051635.8494989444</v>
      </c>
      <c r="W103" s="16">
        <f>-F103</f>
        <v>-20379.532695807367</v>
      </c>
      <c r="X103" s="16">
        <f t="shared" si="55"/>
        <v>-9827167.4976705927</v>
      </c>
      <c r="Y103" s="16"/>
      <c r="Z103" s="16"/>
      <c r="AA103" s="2">
        <v>79</v>
      </c>
      <c r="AB103" s="20">
        <v>545.78238803133445</v>
      </c>
      <c r="AC103" s="19">
        <f t="shared" si="56"/>
        <v>4.7176666275130508E-3</v>
      </c>
      <c r="AD103" s="17">
        <f t="shared" si="57"/>
        <v>393792787.66340208</v>
      </c>
      <c r="AE103" s="17">
        <f t="shared" si="58"/>
        <v>3140158.9887174498</v>
      </c>
      <c r="AF103" s="17">
        <f t="shared" si="59"/>
        <v>1857783.092514965</v>
      </c>
      <c r="AG103" s="17">
        <f t="shared" si="60"/>
        <v>14814.223266157444</v>
      </c>
      <c r="AH103" s="17">
        <f t="shared" si="61"/>
        <v>5012756.3044985719</v>
      </c>
      <c r="AI103" s="17">
        <f t="shared" si="62"/>
        <v>398805543.96790063</v>
      </c>
      <c r="AJ103" s="17">
        <f>+AB103*F103</f>
        <v>11122790.021680404</v>
      </c>
      <c r="AK103" s="17">
        <f t="shared" si="63"/>
        <v>387682753.94622022</v>
      </c>
      <c r="AL103" s="17">
        <f t="shared" si="64"/>
        <v>6110033.7171818316</v>
      </c>
      <c r="AM103" s="16">
        <f>-F103</f>
        <v>-20379.532695807367</v>
      </c>
      <c r="AN103" s="16">
        <f t="shared" si="65"/>
        <v>-11122790.021680404</v>
      </c>
      <c r="AQ103" s="2">
        <v>79</v>
      </c>
      <c r="AR103" s="20">
        <v>515.194969046349</v>
      </c>
      <c r="AS103" s="19">
        <f t="shared" si="66"/>
        <v>4.7539647289827069E-3</v>
      </c>
      <c r="AT103" s="17">
        <f t="shared" si="67"/>
        <v>371709930.88453901</v>
      </c>
      <c r="AU103" s="17">
        <f t="shared" si="68"/>
        <v>2964067.1876914264</v>
      </c>
      <c r="AV103" s="17">
        <f t="shared" si="69"/>
        <v>1767095.9008376983</v>
      </c>
      <c r="AW103" s="17">
        <f t="shared" si="70"/>
        <v>14091.070864620006</v>
      </c>
      <c r="AX103" s="17">
        <f t="shared" si="71"/>
        <v>4745254.1593937445</v>
      </c>
      <c r="AY103" s="17">
        <f t="shared" si="72"/>
        <v>376455185.04393274</v>
      </c>
      <c r="AZ103" s="17">
        <f>+AR103*F103</f>
        <v>10499432.716395535</v>
      </c>
      <c r="BA103" s="17">
        <f t="shared" si="73"/>
        <v>365955752.32753718</v>
      </c>
      <c r="BB103" s="17">
        <f t="shared" si="74"/>
        <v>5754178.55700179</v>
      </c>
      <c r="BC103" s="16">
        <f t="shared" si="75"/>
        <v>-6051635.8494989444</v>
      </c>
      <c r="BD103" s="16">
        <f t="shared" si="76"/>
        <v>-10499432.716395535</v>
      </c>
    </row>
    <row r="104" spans="2:56" x14ac:dyDescent="0.35">
      <c r="B104" s="2">
        <v>80</v>
      </c>
      <c r="C104" s="17">
        <f t="shared" si="40"/>
        <v>710324.77860748325</v>
      </c>
      <c r="D104" s="18">
        <f t="shared" si="45"/>
        <v>5664.2295347460476</v>
      </c>
      <c r="E104" s="17">
        <f t="shared" si="41"/>
        <v>715989.00814222929</v>
      </c>
      <c r="F104" s="18">
        <f t="shared" si="42"/>
        <v>20379.532695807367</v>
      </c>
      <c r="G104" s="17">
        <f t="shared" si="43"/>
        <v>695609.47544642189</v>
      </c>
      <c r="H104" s="17">
        <f t="shared" si="44"/>
        <v>14715.30316106132</v>
      </c>
      <c r="I104" s="16"/>
      <c r="J104" s="16"/>
      <c r="K104" s="2">
        <v>80</v>
      </c>
      <c r="L104" s="2">
        <v>483.57068190016582</v>
      </c>
      <c r="M104" s="19">
        <f t="shared" si="46"/>
        <v>2.8265545340797615E-3</v>
      </c>
      <c r="N104" s="17">
        <f t="shared" si="47"/>
        <v>342524074.58575207</v>
      </c>
      <c r="O104" s="17">
        <f t="shared" si="48"/>
        <v>2731335.071027094</v>
      </c>
      <c r="P104" s="17">
        <f t="shared" si="49"/>
        <v>968162.97605183197</v>
      </c>
      <c r="Q104" s="17">
        <f t="shared" si="50"/>
        <v>7720.2675291026999</v>
      </c>
      <c r="R104" s="17">
        <f t="shared" si="51"/>
        <v>3707218.3146080286</v>
      </c>
      <c r="S104" s="17">
        <f t="shared" si="52"/>
        <v>346231292.90036011</v>
      </c>
      <c r="T104" s="17">
        <f>+F104*L104</f>
        <v>9854944.5225182939</v>
      </c>
      <c r="U104" s="17">
        <f t="shared" si="53"/>
        <v>336376348.37784183</v>
      </c>
      <c r="V104" s="17">
        <f t="shared" si="54"/>
        <v>6147726.2079102658</v>
      </c>
      <c r="W104" s="16">
        <f>-F104</f>
        <v>-20379.532695807367</v>
      </c>
      <c r="X104" s="16">
        <f t="shared" si="55"/>
        <v>-9854944.5225182939</v>
      </c>
      <c r="Y104" s="16"/>
      <c r="Z104" s="16"/>
      <c r="AA104" s="2">
        <v>80</v>
      </c>
      <c r="AB104" s="20">
        <v>548.3572073892343</v>
      </c>
      <c r="AC104" s="19">
        <f t="shared" si="56"/>
        <v>4.7176666275130508E-3</v>
      </c>
      <c r="AD104" s="17">
        <f t="shared" si="57"/>
        <v>387682753.94622022</v>
      </c>
      <c r="AE104" s="17">
        <f t="shared" si="58"/>
        <v>3091436.721831305</v>
      </c>
      <c r="AF104" s="17">
        <f t="shared" si="59"/>
        <v>1828957.9903544367</v>
      </c>
      <c r="AG104" s="17">
        <f t="shared" si="60"/>
        <v>14584.367853651893</v>
      </c>
      <c r="AH104" s="17">
        <f t="shared" si="61"/>
        <v>4934979.0800393932</v>
      </c>
      <c r="AI104" s="17">
        <f t="shared" si="62"/>
        <v>392617733.0262596</v>
      </c>
      <c r="AJ104" s="17">
        <f>+AB104*F104</f>
        <v>11175263.636970522</v>
      </c>
      <c r="AK104" s="17">
        <f t="shared" si="63"/>
        <v>381442469.38928908</v>
      </c>
      <c r="AL104" s="17">
        <f t="shared" si="64"/>
        <v>6240284.5569311287</v>
      </c>
      <c r="AM104" s="16">
        <f>-F104</f>
        <v>-20379.532695807367</v>
      </c>
      <c r="AN104" s="16">
        <f t="shared" si="65"/>
        <v>-11175263.636970522</v>
      </c>
      <c r="AQ104" s="2">
        <v>80</v>
      </c>
      <c r="AR104" s="20">
        <v>517.64376031432641</v>
      </c>
      <c r="AS104" s="19">
        <f t="shared" si="66"/>
        <v>4.7531350558609464E-3</v>
      </c>
      <c r="AT104" s="17">
        <f t="shared" si="67"/>
        <v>365955752.32753718</v>
      </c>
      <c r="AU104" s="17">
        <f t="shared" si="68"/>
        <v>2918182.5598249072</v>
      </c>
      <c r="AV104" s="17">
        <f t="shared" si="69"/>
        <v>1739437.115281983</v>
      </c>
      <c r="AW104" s="17">
        <f t="shared" si="70"/>
        <v>13870.515824505799</v>
      </c>
      <c r="AX104" s="17">
        <f t="shared" si="71"/>
        <v>4671490.1909313956</v>
      </c>
      <c r="AY104" s="17">
        <f t="shared" si="72"/>
        <v>370627242.51846856</v>
      </c>
      <c r="AZ104" s="17">
        <f>+AR104*F104</f>
        <v>10549337.938106487</v>
      </c>
      <c r="BA104" s="17">
        <f t="shared" si="73"/>
        <v>360077904.58036208</v>
      </c>
      <c r="BB104" s="17">
        <f t="shared" si="74"/>
        <v>5877847.7471750909</v>
      </c>
      <c r="BC104" s="16">
        <f t="shared" si="75"/>
        <v>-6147726.2079102658</v>
      </c>
      <c r="BD104" s="16">
        <f t="shared" si="76"/>
        <v>-10549337.938106487</v>
      </c>
    </row>
    <row r="105" spans="2:56" x14ac:dyDescent="0.35">
      <c r="B105" s="2">
        <v>81</v>
      </c>
      <c r="C105" s="17">
        <f t="shared" si="40"/>
        <v>695609.47544642189</v>
      </c>
      <c r="D105" s="18">
        <f t="shared" si="45"/>
        <v>5546.8876408858532</v>
      </c>
      <c r="E105" s="17">
        <f t="shared" si="41"/>
        <v>701156.36308730778</v>
      </c>
      <c r="F105" s="18">
        <f t="shared" si="42"/>
        <v>20379.532695807367</v>
      </c>
      <c r="G105" s="17">
        <f t="shared" si="43"/>
        <v>680776.83039150038</v>
      </c>
      <c r="H105" s="17">
        <f t="shared" si="44"/>
        <v>14832.645054921515</v>
      </c>
      <c r="I105" s="16"/>
      <c r="J105" s="16"/>
      <c r="K105" s="2">
        <v>81</v>
      </c>
      <c r="L105" s="2">
        <v>484.93366822083232</v>
      </c>
      <c r="M105" s="19">
        <f t="shared" si="46"/>
        <v>2.8185875853985465E-3</v>
      </c>
      <c r="N105" s="17">
        <f t="shared" si="47"/>
        <v>336376348.37784183</v>
      </c>
      <c r="O105" s="17">
        <f t="shared" si="48"/>
        <v>2682312.2389267655</v>
      </c>
      <c r="P105" s="17">
        <f t="shared" si="49"/>
        <v>948106.19955948147</v>
      </c>
      <c r="Q105" s="17">
        <f t="shared" si="50"/>
        <v>7560.3319768015608</v>
      </c>
      <c r="R105" s="17">
        <f t="shared" si="51"/>
        <v>3637978.7704630485</v>
      </c>
      <c r="S105" s="17">
        <f t="shared" si="52"/>
        <v>340014327.14830488</v>
      </c>
      <c r="T105" s="17">
        <f>+F105*L105</f>
        <v>9882721.5468042549</v>
      </c>
      <c r="U105" s="17">
        <f t="shared" si="53"/>
        <v>330131605.60150063</v>
      </c>
      <c r="V105" s="17">
        <f t="shared" si="54"/>
        <v>6244742.7763412064</v>
      </c>
      <c r="W105" s="16">
        <f>-F105</f>
        <v>-20379.532695807367</v>
      </c>
      <c r="X105" s="16">
        <f t="shared" si="55"/>
        <v>-9882721.5468042549</v>
      </c>
      <c r="Y105" s="16"/>
      <c r="Z105" s="16"/>
      <c r="AA105" s="2">
        <v>81</v>
      </c>
      <c r="AB105" s="20">
        <v>550.94417388649094</v>
      </c>
      <c r="AC105" s="19">
        <f t="shared" si="56"/>
        <v>4.7176666275134949E-3</v>
      </c>
      <c r="AD105" s="17">
        <f t="shared" si="57"/>
        <v>381442469.38928908</v>
      </c>
      <c r="AE105" s="17">
        <f t="shared" si="58"/>
        <v>3041675.8164580166</v>
      </c>
      <c r="AF105" s="17">
        <f t="shared" si="59"/>
        <v>1799518.408154187</v>
      </c>
      <c r="AG105" s="17">
        <f t="shared" si="60"/>
        <v>14349.612491018846</v>
      </c>
      <c r="AH105" s="17">
        <f t="shared" si="61"/>
        <v>4855543.8371032225</v>
      </c>
      <c r="AI105" s="17">
        <f t="shared" si="62"/>
        <v>386298013.22639233</v>
      </c>
      <c r="AJ105" s="17">
        <f>+AB105*F105</f>
        <v>11227984.805284321</v>
      </c>
      <c r="AK105" s="17">
        <f t="shared" si="63"/>
        <v>375070028.42110801</v>
      </c>
      <c r="AL105" s="17">
        <f t="shared" si="64"/>
        <v>6372440.9681810988</v>
      </c>
      <c r="AM105" s="16">
        <f>-F105</f>
        <v>-20379.532695807367</v>
      </c>
      <c r="AN105" s="16">
        <f t="shared" si="65"/>
        <v>-11227984.805284321</v>
      </c>
      <c r="AQ105" s="2">
        <v>81</v>
      </c>
      <c r="AR105" s="20">
        <v>519.18894335139953</v>
      </c>
      <c r="AS105" s="19">
        <f t="shared" si="66"/>
        <v>2.9850317062352083E-3</v>
      </c>
      <c r="AT105" s="17">
        <f t="shared" si="67"/>
        <v>360077904.58036208</v>
      </c>
      <c r="AU105" s="17">
        <f t="shared" si="68"/>
        <v>2871311.7764692171</v>
      </c>
      <c r="AV105" s="17">
        <f t="shared" si="69"/>
        <v>1074843.9618871168</v>
      </c>
      <c r="AW105" s="17">
        <f t="shared" si="70"/>
        <v>8570.9566912471546</v>
      </c>
      <c r="AX105" s="17">
        <f t="shared" si="71"/>
        <v>3954726.6950475806</v>
      </c>
      <c r="AY105" s="17">
        <f t="shared" si="72"/>
        <v>364032631.27540964</v>
      </c>
      <c r="AZ105" s="17">
        <f>+AR105*F105</f>
        <v>10580828.046331527</v>
      </c>
      <c r="BA105" s="17">
        <f t="shared" si="73"/>
        <v>353451803.22907811</v>
      </c>
      <c r="BB105" s="17">
        <f t="shared" si="74"/>
        <v>6626101.3512839461</v>
      </c>
      <c r="BC105" s="16">
        <f t="shared" si="75"/>
        <v>-6244742.7763412064</v>
      </c>
      <c r="BD105" s="16">
        <f t="shared" si="76"/>
        <v>-10580828.046331527</v>
      </c>
    </row>
    <row r="106" spans="2:56" x14ac:dyDescent="0.35">
      <c r="B106" s="2">
        <v>82</v>
      </c>
      <c r="C106" s="17">
        <f t="shared" si="40"/>
        <v>680776.83039150038</v>
      </c>
      <c r="D106" s="18">
        <f t="shared" si="45"/>
        <v>5428.610046285824</v>
      </c>
      <c r="E106" s="17">
        <f t="shared" si="41"/>
        <v>686205.44043778616</v>
      </c>
      <c r="F106" s="18">
        <f t="shared" si="42"/>
        <v>20379.532695807367</v>
      </c>
      <c r="G106" s="17">
        <f t="shared" si="43"/>
        <v>665825.90774197876</v>
      </c>
      <c r="H106" s="17">
        <f t="shared" si="44"/>
        <v>14950.922649521544</v>
      </c>
      <c r="I106" s="16"/>
      <c r="J106" s="16"/>
      <c r="K106" s="2">
        <v>82</v>
      </c>
      <c r="L106" s="2">
        <v>486.2966545685108</v>
      </c>
      <c r="M106" s="19">
        <f t="shared" si="46"/>
        <v>2.8106655342763354E-3</v>
      </c>
      <c r="N106" s="17">
        <f t="shared" si="47"/>
        <v>330131605.60150063</v>
      </c>
      <c r="O106" s="17">
        <f t="shared" si="48"/>
        <v>2632515.7830858384</v>
      </c>
      <c r="P106" s="17">
        <f t="shared" si="49"/>
        <v>927889.52563944622</v>
      </c>
      <c r="Q106" s="17">
        <f t="shared" si="50"/>
        <v>7399.1213799578436</v>
      </c>
      <c r="R106" s="17">
        <f t="shared" si="51"/>
        <v>3567804.4301052429</v>
      </c>
      <c r="S106" s="17">
        <f t="shared" si="52"/>
        <v>333699410.0316059</v>
      </c>
      <c r="T106" s="17">
        <f>+F106*L106</f>
        <v>9910498.5716407076</v>
      </c>
      <c r="U106" s="17">
        <f t="shared" si="53"/>
        <v>323788911.45996517</v>
      </c>
      <c r="V106" s="17">
        <f t="shared" si="54"/>
        <v>6342694.1415354647</v>
      </c>
      <c r="W106" s="16">
        <f>-F106</f>
        <v>-20379.532695807367</v>
      </c>
      <c r="X106" s="16">
        <f t="shared" si="55"/>
        <v>-9910498.5716407076</v>
      </c>
      <c r="Y106" s="16"/>
      <c r="Z106" s="16"/>
      <c r="AA106" s="2">
        <v>82</v>
      </c>
      <c r="AB106" s="20">
        <v>553.5433448292581</v>
      </c>
      <c r="AC106" s="19">
        <f t="shared" si="56"/>
        <v>4.7176666275132728E-3</v>
      </c>
      <c r="AD106" s="17">
        <f t="shared" si="57"/>
        <v>375070028.42110801</v>
      </c>
      <c r="AE106" s="17">
        <f t="shared" si="58"/>
        <v>2990861.0773028415</v>
      </c>
      <c r="AF106" s="17">
        <f t="shared" si="59"/>
        <v>1769455.3560627161</v>
      </c>
      <c r="AG106" s="17">
        <f t="shared" si="60"/>
        <v>14109.885491920009</v>
      </c>
      <c r="AH106" s="17">
        <f t="shared" si="61"/>
        <v>4774426.318857478</v>
      </c>
      <c r="AI106" s="17">
        <f t="shared" si="62"/>
        <v>379844454.7399655</v>
      </c>
      <c r="AJ106" s="17">
        <f>+AB106*F106</f>
        <v>11280954.694494437</v>
      </c>
      <c r="AK106" s="17">
        <f t="shared" si="63"/>
        <v>368563500.04547107</v>
      </c>
      <c r="AL106" s="17">
        <f t="shared" si="64"/>
        <v>6506528.3756369594</v>
      </c>
      <c r="AM106" s="16">
        <f>-F106</f>
        <v>-20379.532695807367</v>
      </c>
      <c r="AN106" s="16">
        <f t="shared" si="65"/>
        <v>-11280954.694494437</v>
      </c>
      <c r="AQ106" s="2">
        <v>82</v>
      </c>
      <c r="AR106" s="20">
        <v>520.5892384756969</v>
      </c>
      <c r="AS106" s="19">
        <f t="shared" si="66"/>
        <v>2.6970819433449478E-3</v>
      </c>
      <c r="AT106" s="17">
        <f t="shared" si="67"/>
        <v>353451803.22907811</v>
      </c>
      <c r="AU106" s="17">
        <f t="shared" si="68"/>
        <v>2818474.3137979298</v>
      </c>
      <c r="AV106" s="17">
        <f t="shared" si="69"/>
        <v>953288.47633185808</v>
      </c>
      <c r="AW106" s="17">
        <f t="shared" si="70"/>
        <v>7601.6561795259386</v>
      </c>
      <c r="AX106" s="17">
        <f t="shared" si="71"/>
        <v>3779364.4463093136</v>
      </c>
      <c r="AY106" s="17">
        <f t="shared" si="72"/>
        <v>357231167.67538744</v>
      </c>
      <c r="AZ106" s="17">
        <f>+AR106*F106</f>
        <v>10609365.406600924</v>
      </c>
      <c r="BA106" s="17">
        <f t="shared" si="73"/>
        <v>346621802.26878649</v>
      </c>
      <c r="BB106" s="17">
        <f t="shared" si="74"/>
        <v>6830000.960291611</v>
      </c>
      <c r="BC106" s="16">
        <f t="shared" si="75"/>
        <v>-6342694.1415354647</v>
      </c>
      <c r="BD106" s="16">
        <f t="shared" si="76"/>
        <v>-10609365.406600924</v>
      </c>
    </row>
    <row r="107" spans="2:56" x14ac:dyDescent="0.35">
      <c r="B107" s="2">
        <v>83</v>
      </c>
      <c r="C107" s="17">
        <f t="shared" si="40"/>
        <v>665825.90774197876</v>
      </c>
      <c r="D107" s="18">
        <f t="shared" si="45"/>
        <v>5309.3892895368608</v>
      </c>
      <c r="E107" s="17">
        <f t="shared" si="41"/>
        <v>671135.29703151563</v>
      </c>
      <c r="F107" s="18">
        <f t="shared" si="42"/>
        <v>20379.532695807367</v>
      </c>
      <c r="G107" s="17">
        <f t="shared" si="43"/>
        <v>650755.76433570823</v>
      </c>
      <c r="H107" s="17">
        <f t="shared" si="44"/>
        <v>15070.143406270507</v>
      </c>
      <c r="I107" s="16"/>
      <c r="J107" s="16"/>
      <c r="K107" s="2">
        <v>83</v>
      </c>
      <c r="L107" s="2">
        <v>487.65964089218357</v>
      </c>
      <c r="M107" s="19">
        <f t="shared" si="46"/>
        <v>2.8027877857439432E-3</v>
      </c>
      <c r="N107" s="17">
        <f t="shared" si="47"/>
        <v>323788911.45996517</v>
      </c>
      <c r="O107" s="17">
        <f t="shared" si="48"/>
        <v>2581938.2493036496</v>
      </c>
      <c r="P107" s="17">
        <f t="shared" si="49"/>
        <v>907511.6061993175</v>
      </c>
      <c r="Q107" s="17">
        <f t="shared" si="50"/>
        <v>7236.6249886933692</v>
      </c>
      <c r="R107" s="17">
        <f t="shared" si="51"/>
        <v>3496686.4804916605</v>
      </c>
      <c r="S107" s="17">
        <f t="shared" si="52"/>
        <v>327285597.94045681</v>
      </c>
      <c r="T107" s="17">
        <f>+F107*L107</f>
        <v>9938275.5959879346</v>
      </c>
      <c r="U107" s="17">
        <f t="shared" si="53"/>
        <v>317347322.34446889</v>
      </c>
      <c r="V107" s="17">
        <f t="shared" si="54"/>
        <v>6441589.1154962741</v>
      </c>
      <c r="W107" s="16">
        <f>-F107</f>
        <v>-20379.532695807367</v>
      </c>
      <c r="X107" s="16">
        <f t="shared" si="55"/>
        <v>-9938275.5959879346</v>
      </c>
      <c r="Y107" s="16"/>
      <c r="Z107" s="16"/>
      <c r="AA107" s="2">
        <v>83</v>
      </c>
      <c r="AB107" s="20">
        <v>556.15477779404114</v>
      </c>
      <c r="AC107" s="19">
        <f t="shared" si="56"/>
        <v>4.7176666275132728E-3</v>
      </c>
      <c r="AD107" s="17">
        <f t="shared" si="57"/>
        <v>368563500.04547107</v>
      </c>
      <c r="AE107" s="17">
        <f t="shared" si="58"/>
        <v>2938977.1063308651</v>
      </c>
      <c r="AF107" s="17">
        <f t="shared" si="59"/>
        <v>1738759.7242840056</v>
      </c>
      <c r="AG107" s="17">
        <f t="shared" si="60"/>
        <v>13865.114213562649</v>
      </c>
      <c r="AH107" s="17">
        <f t="shared" si="61"/>
        <v>4691601.944828433</v>
      </c>
      <c r="AI107" s="17">
        <f t="shared" si="62"/>
        <v>373255101.99029952</v>
      </c>
      <c r="AJ107" s="17">
        <f>+AB107*F107</f>
        <v>11334174.477983143</v>
      </c>
      <c r="AK107" s="17">
        <f t="shared" si="63"/>
        <v>361920927.51231641</v>
      </c>
      <c r="AL107" s="17">
        <f t="shared" si="64"/>
        <v>6642572.5331547102</v>
      </c>
      <c r="AM107" s="16">
        <f>-F107</f>
        <v>-20379.532695807367</v>
      </c>
      <c r="AN107" s="16">
        <f t="shared" si="65"/>
        <v>-11334174.477983143</v>
      </c>
      <c r="AQ107" s="2">
        <v>83</v>
      </c>
      <c r="AR107" s="20">
        <v>521.96839442936493</v>
      </c>
      <c r="AS107" s="19">
        <f t="shared" si="66"/>
        <v>2.6492210206001676E-3</v>
      </c>
      <c r="AT107" s="17">
        <f t="shared" si="67"/>
        <v>346621802.26878649</v>
      </c>
      <c r="AU107" s="17">
        <f t="shared" si="68"/>
        <v>2764010.9270110168</v>
      </c>
      <c r="AV107" s="17">
        <f t="shared" si="69"/>
        <v>918277.76476878405</v>
      </c>
      <c r="AW107" s="17">
        <f t="shared" si="70"/>
        <v>7322.4758490061413</v>
      </c>
      <c r="AX107" s="17">
        <f t="shared" si="71"/>
        <v>3689611.167628807</v>
      </c>
      <c r="AY107" s="17">
        <f t="shared" si="72"/>
        <v>350311413.43641531</v>
      </c>
      <c r="AZ107" s="17">
        <f>+AR107*F107</f>
        <v>10637471.960451318</v>
      </c>
      <c r="BA107" s="17">
        <f t="shared" si="73"/>
        <v>339673941.47596401</v>
      </c>
      <c r="BB107" s="17">
        <f t="shared" si="74"/>
        <v>6947860.7928225109</v>
      </c>
      <c r="BC107" s="16">
        <f t="shared" si="75"/>
        <v>-6441589.1154962741</v>
      </c>
      <c r="BD107" s="16">
        <f t="shared" si="76"/>
        <v>-10637471.960451318</v>
      </c>
    </row>
    <row r="108" spans="2:56" x14ac:dyDescent="0.35">
      <c r="B108" s="2">
        <v>84</v>
      </c>
      <c r="C108" s="17">
        <f t="shared" si="40"/>
        <v>650755.76433570823</v>
      </c>
      <c r="D108" s="18">
        <f t="shared" si="45"/>
        <v>5189.2178497315417</v>
      </c>
      <c r="E108" s="17">
        <f t="shared" si="41"/>
        <v>655944.98218543979</v>
      </c>
      <c r="F108" s="18">
        <f t="shared" si="42"/>
        <v>20379.532695807367</v>
      </c>
      <c r="G108" s="17">
        <f t="shared" si="43"/>
        <v>635565.44948963239</v>
      </c>
      <c r="H108" s="17">
        <f t="shared" si="44"/>
        <v>15190.314846075826</v>
      </c>
      <c r="I108" s="16"/>
      <c r="J108" s="16"/>
      <c r="K108" s="2">
        <v>84</v>
      </c>
      <c r="L108" s="2">
        <v>489.02262723548313</v>
      </c>
      <c r="M108" s="19">
        <f t="shared" si="46"/>
        <v>2.7949541627145802E-3</v>
      </c>
      <c r="N108" s="17">
        <f t="shared" si="47"/>
        <v>317347322.34446889</v>
      </c>
      <c r="O108" s="17">
        <f t="shared" si="48"/>
        <v>2530572.1131113842</v>
      </c>
      <c r="P108" s="17">
        <f t="shared" si="49"/>
        <v>886971.219612999</v>
      </c>
      <c r="Q108" s="17">
        <f t="shared" si="50"/>
        <v>7072.833061590095</v>
      </c>
      <c r="R108" s="17">
        <f t="shared" si="51"/>
        <v>3424616.1657859734</v>
      </c>
      <c r="S108" s="17">
        <f t="shared" si="52"/>
        <v>320771938.51025486</v>
      </c>
      <c r="T108" s="17">
        <f>+F108*L108</f>
        <v>9966052.6207351461</v>
      </c>
      <c r="U108" s="17">
        <f t="shared" si="53"/>
        <v>310805885.88951969</v>
      </c>
      <c r="V108" s="17">
        <f t="shared" si="54"/>
        <v>6541436.4549491722</v>
      </c>
      <c r="W108" s="16">
        <f>-F108</f>
        <v>-20379.532695807367</v>
      </c>
      <c r="X108" s="16">
        <f t="shared" si="55"/>
        <v>-9966052.6207351461</v>
      </c>
      <c r="Y108" s="16"/>
      <c r="Z108" s="16"/>
      <c r="AA108" s="2">
        <v>84</v>
      </c>
      <c r="AB108" s="20">
        <v>558.77853062897213</v>
      </c>
      <c r="AC108" s="19">
        <f t="shared" si="56"/>
        <v>4.7176666275132728E-3</v>
      </c>
      <c r="AD108" s="17">
        <f t="shared" si="57"/>
        <v>361920927.51231641</v>
      </c>
      <c r="AE108" s="17">
        <f t="shared" si="58"/>
        <v>2886008.300142311</v>
      </c>
      <c r="AF108" s="17">
        <f t="shared" si="59"/>
        <v>1707422.2815235055</v>
      </c>
      <c r="AG108" s="17">
        <f t="shared" si="60"/>
        <v>13615.22504430769</v>
      </c>
      <c r="AH108" s="17">
        <f t="shared" si="61"/>
        <v>4607045.806710124</v>
      </c>
      <c r="AI108" s="17">
        <f t="shared" si="62"/>
        <v>366527973.31902653</v>
      </c>
      <c r="AJ108" s="17">
        <f>+AB108*F108</f>
        <v>11387645.334668336</v>
      </c>
      <c r="AK108" s="17">
        <f t="shared" si="63"/>
        <v>355140327.98435819</v>
      </c>
      <c r="AL108" s="17">
        <f t="shared" si="64"/>
        <v>6780599.5279582124</v>
      </c>
      <c r="AM108" s="16">
        <f>-F108</f>
        <v>-20379.532695807367</v>
      </c>
      <c r="AN108" s="16">
        <f t="shared" si="65"/>
        <v>-11387645.334668336</v>
      </c>
      <c r="AQ108" s="2">
        <v>84</v>
      </c>
      <c r="AR108" s="20">
        <v>524.15653484336872</v>
      </c>
      <c r="AS108" s="19">
        <f t="shared" si="66"/>
        <v>4.1920936925614605E-3</v>
      </c>
      <c r="AT108" s="17">
        <f t="shared" si="67"/>
        <v>339673941.47596401</v>
      </c>
      <c r="AU108" s="17">
        <f t="shared" si="68"/>
        <v>2708607.7093685758</v>
      </c>
      <c r="AV108" s="17">
        <f t="shared" si="69"/>
        <v>1423944.9875888794</v>
      </c>
      <c r="AW108" s="17">
        <f t="shared" si="70"/>
        <v>11354.737294067352</v>
      </c>
      <c r="AX108" s="17">
        <f t="shared" si="71"/>
        <v>4143907.4342515226</v>
      </c>
      <c r="AY108" s="17">
        <f t="shared" si="72"/>
        <v>343817848.91021556</v>
      </c>
      <c r="AZ108" s="17">
        <f>+AR108*F108</f>
        <v>10682065.239561526</v>
      </c>
      <c r="BA108" s="17">
        <f t="shared" si="73"/>
        <v>333135783.67065406</v>
      </c>
      <c r="BB108" s="17">
        <f t="shared" si="74"/>
        <v>6538157.8053100035</v>
      </c>
      <c r="BC108" s="16">
        <f t="shared" si="75"/>
        <v>-6541436.4549491722</v>
      </c>
      <c r="BD108" s="16">
        <f t="shared" si="76"/>
        <v>-10682065.239561526</v>
      </c>
    </row>
    <row r="109" spans="2:56" x14ac:dyDescent="0.35">
      <c r="B109" s="2">
        <v>85</v>
      </c>
      <c r="C109" s="17">
        <f t="shared" si="40"/>
        <v>635565.44948963239</v>
      </c>
      <c r="D109" s="18">
        <f t="shared" si="45"/>
        <v>5068.0881459896709</v>
      </c>
      <c r="E109" s="17">
        <f t="shared" si="41"/>
        <v>640633.53763562208</v>
      </c>
      <c r="F109" s="18">
        <f t="shared" si="42"/>
        <v>20379.532695807367</v>
      </c>
      <c r="G109" s="17">
        <f t="shared" si="43"/>
        <v>620254.00493981468</v>
      </c>
      <c r="H109" s="17">
        <f t="shared" si="44"/>
        <v>15311.444549817697</v>
      </c>
      <c r="I109" s="16"/>
      <c r="J109" s="16"/>
      <c r="K109" s="2">
        <v>85</v>
      </c>
      <c r="L109" s="2">
        <v>490.38561356403972</v>
      </c>
      <c r="M109" s="19">
        <f t="shared" si="46"/>
        <v>2.7871641364771715E-3</v>
      </c>
      <c r="N109" s="17">
        <f t="shared" si="47"/>
        <v>310805885.88951969</v>
      </c>
      <c r="O109" s="17">
        <f t="shared" si="48"/>
        <v>2478409.7802128689</v>
      </c>
      <c r="P109" s="17">
        <f t="shared" si="49"/>
        <v>866267.01855728542</v>
      </c>
      <c r="Q109" s="17">
        <f t="shared" si="50"/>
        <v>6907.7348549035778</v>
      </c>
      <c r="R109" s="17">
        <f t="shared" si="51"/>
        <v>3351584.5336250579</v>
      </c>
      <c r="S109" s="17">
        <f t="shared" si="52"/>
        <v>314157470.42314476</v>
      </c>
      <c r="T109" s="17">
        <f>+F109*L109</f>
        <v>9993829.6451819036</v>
      </c>
      <c r="U109" s="17">
        <f t="shared" si="53"/>
        <v>304163640.77796286</v>
      </c>
      <c r="V109" s="17">
        <f t="shared" si="54"/>
        <v>6642245.1115568457</v>
      </c>
      <c r="W109" s="16">
        <f>-F109</f>
        <v>-20379.532695807367</v>
      </c>
      <c r="X109" s="16">
        <f t="shared" si="55"/>
        <v>-9993829.6451819036</v>
      </c>
      <c r="Y109" s="16"/>
      <c r="Z109" s="16"/>
      <c r="AA109" s="2">
        <v>85</v>
      </c>
      <c r="AB109" s="20">
        <v>561.41466145509139</v>
      </c>
      <c r="AC109" s="19">
        <f t="shared" si="56"/>
        <v>4.7176666275132728E-3</v>
      </c>
      <c r="AD109" s="17">
        <f t="shared" si="57"/>
        <v>355140327.98435819</v>
      </c>
      <c r="AE109" s="17">
        <f t="shared" si="58"/>
        <v>2831938.8473142134</v>
      </c>
      <c r="AF109" s="17">
        <f t="shared" si="59"/>
        <v>1675433.6734159247</v>
      </c>
      <c r="AG109" s="17">
        <f t="shared" si="60"/>
        <v>13360.143391132671</v>
      </c>
      <c r="AH109" s="17">
        <f t="shared" si="61"/>
        <v>4520732.6641212711</v>
      </c>
      <c r="AI109" s="17">
        <f t="shared" si="62"/>
        <v>359661060.64847946</v>
      </c>
      <c r="AJ109" s="17">
        <f>+AB109*F109</f>
        <v>11441368.44902966</v>
      </c>
      <c r="AK109" s="17">
        <f t="shared" si="63"/>
        <v>348219692.19944978</v>
      </c>
      <c r="AL109" s="17">
        <f t="shared" si="64"/>
        <v>6920635.7849083887</v>
      </c>
      <c r="AM109" s="16">
        <f>-F109</f>
        <v>-20379.532695807367</v>
      </c>
      <c r="AN109" s="16">
        <f t="shared" si="65"/>
        <v>-11441368.44902966</v>
      </c>
      <c r="AQ109" s="2">
        <v>85</v>
      </c>
      <c r="AR109" s="20">
        <v>525.71545669149532</v>
      </c>
      <c r="AS109" s="19">
        <f t="shared" si="66"/>
        <v>2.9741532242699709E-3</v>
      </c>
      <c r="AT109" s="17">
        <f t="shared" si="67"/>
        <v>333135783.67065406</v>
      </c>
      <c r="AU109" s="17">
        <f t="shared" si="68"/>
        <v>2656471.520882701</v>
      </c>
      <c r="AV109" s="17">
        <f t="shared" si="69"/>
        <v>990796.86512377928</v>
      </c>
      <c r="AW109" s="17">
        <f t="shared" si="70"/>
        <v>7900.7533390146382</v>
      </c>
      <c r="AX109" s="17">
        <f t="shared" si="71"/>
        <v>3655169.139345495</v>
      </c>
      <c r="AY109" s="17">
        <f t="shared" si="72"/>
        <v>336790952.80999953</v>
      </c>
      <c r="AZ109" s="17">
        <f>+AR109*F109</f>
        <v>10713835.338335631</v>
      </c>
      <c r="BA109" s="17">
        <f t="shared" si="73"/>
        <v>326077117.47166389</v>
      </c>
      <c r="BB109" s="17">
        <f t="shared" si="74"/>
        <v>7058666.1989901364</v>
      </c>
      <c r="BC109" s="16">
        <f t="shared" si="75"/>
        <v>-6642245.1115568457</v>
      </c>
      <c r="BD109" s="16">
        <f t="shared" si="76"/>
        <v>-10713835.338335631</v>
      </c>
    </row>
    <row r="110" spans="2:56" x14ac:dyDescent="0.35">
      <c r="B110" s="2">
        <v>86</v>
      </c>
      <c r="C110" s="17">
        <f t="shared" si="40"/>
        <v>620254.00493981468</v>
      </c>
      <c r="D110" s="18">
        <f t="shared" si="45"/>
        <v>4945.9925369800512</v>
      </c>
      <c r="E110" s="17">
        <f t="shared" si="41"/>
        <v>625199.99747679476</v>
      </c>
      <c r="F110" s="18">
        <f t="shared" si="42"/>
        <v>20379.532695807367</v>
      </c>
      <c r="G110" s="17">
        <f t="shared" si="43"/>
        <v>604820.46478098736</v>
      </c>
      <c r="H110" s="17">
        <f t="shared" si="44"/>
        <v>15433.540158827316</v>
      </c>
      <c r="I110" s="16"/>
      <c r="J110" s="16"/>
      <c r="K110" s="2">
        <v>86</v>
      </c>
      <c r="L110" s="2">
        <v>491.74859990258869</v>
      </c>
      <c r="M110" s="19">
        <f t="shared" si="46"/>
        <v>2.7794174642339353E-3</v>
      </c>
      <c r="N110" s="17">
        <f t="shared" si="47"/>
        <v>304163640.77796286</v>
      </c>
      <c r="O110" s="17">
        <f t="shared" si="48"/>
        <v>2425443.5849301154</v>
      </c>
      <c r="P110" s="17">
        <f t="shared" si="49"/>
        <v>845397.7351632471</v>
      </c>
      <c r="Q110" s="17">
        <f t="shared" si="50"/>
        <v>6741.320258468927</v>
      </c>
      <c r="R110" s="17">
        <f t="shared" si="51"/>
        <v>3277582.6403518314</v>
      </c>
      <c r="S110" s="17">
        <f t="shared" si="52"/>
        <v>307441223.4183147</v>
      </c>
      <c r="T110" s="17">
        <f>+F110*L110</f>
        <v>10021606.669832302</v>
      </c>
      <c r="U110" s="17">
        <f t="shared" si="53"/>
        <v>297419616.74848241</v>
      </c>
      <c r="V110" s="17">
        <f t="shared" si="54"/>
        <v>6744024.0294804703</v>
      </c>
      <c r="W110" s="16">
        <f>-F110</f>
        <v>-20379.532695807367</v>
      </c>
      <c r="X110" s="16">
        <f t="shared" si="55"/>
        <v>-10021606.669832302</v>
      </c>
      <c r="Y110" s="16"/>
      <c r="Z110" s="16"/>
      <c r="AA110" s="2">
        <v>86</v>
      </c>
      <c r="AB110" s="20">
        <v>564.06322866763469</v>
      </c>
      <c r="AC110" s="19">
        <f t="shared" si="56"/>
        <v>4.7176666275132728E-3</v>
      </c>
      <c r="AD110" s="17">
        <f t="shared" si="57"/>
        <v>348219692.19944978</v>
      </c>
      <c r="AE110" s="17">
        <f t="shared" si="58"/>
        <v>2776752.7257080572</v>
      </c>
      <c r="AF110" s="17">
        <f t="shared" si="59"/>
        <v>1642784.420932288</v>
      </c>
      <c r="AG110" s="17">
        <f t="shared" si="60"/>
        <v>13099.793666929418</v>
      </c>
      <c r="AH110" s="17">
        <f t="shared" si="61"/>
        <v>4432636.9403072745</v>
      </c>
      <c r="AI110" s="17">
        <f t="shared" si="62"/>
        <v>352652329.13975704</v>
      </c>
      <c r="AJ110" s="17">
        <f>+AB110*F110</f>
        <v>11495345.011134729</v>
      </c>
      <c r="AK110" s="17">
        <f t="shared" si="63"/>
        <v>341156984.12862229</v>
      </c>
      <c r="AL110" s="17">
        <f t="shared" si="64"/>
        <v>7062708.0708274543</v>
      </c>
      <c r="AM110" s="16">
        <f>-F110</f>
        <v>-20379.532695807367</v>
      </c>
      <c r="AN110" s="16">
        <f t="shared" si="65"/>
        <v>-11495345.011134729</v>
      </c>
      <c r="AQ110" s="2">
        <v>86</v>
      </c>
      <c r="AR110" s="20">
        <v>526.59054142053833</v>
      </c>
      <c r="AS110" s="19">
        <f t="shared" si="66"/>
        <v>1.6645596356443804E-3</v>
      </c>
      <c r="AT110" s="17">
        <f t="shared" si="67"/>
        <v>326077117.47166389</v>
      </c>
      <c r="AU110" s="17">
        <f t="shared" si="68"/>
        <v>2600184.7253711969</v>
      </c>
      <c r="AV110" s="17">
        <f t="shared" si="69"/>
        <v>542774.80785060266</v>
      </c>
      <c r="AW110" s="17">
        <f t="shared" si="70"/>
        <v>4328.1625390719628</v>
      </c>
      <c r="AX110" s="17">
        <f t="shared" si="71"/>
        <v>3147287.6957608713</v>
      </c>
      <c r="AY110" s="17">
        <f t="shared" si="72"/>
        <v>329224405.16742474</v>
      </c>
      <c r="AZ110" s="17">
        <f>+AR110*F110</f>
        <v>10731669.156182764</v>
      </c>
      <c r="BA110" s="17">
        <f t="shared" si="73"/>
        <v>318492736.01124197</v>
      </c>
      <c r="BB110" s="17">
        <f t="shared" si="74"/>
        <v>7584381.4604218928</v>
      </c>
      <c r="BC110" s="16">
        <f t="shared" si="75"/>
        <v>-6744024.0294804703</v>
      </c>
      <c r="BD110" s="16">
        <f t="shared" si="76"/>
        <v>-10731669.156182764</v>
      </c>
    </row>
    <row r="111" spans="2:56" x14ac:dyDescent="0.35">
      <c r="B111" s="2">
        <v>87</v>
      </c>
      <c r="C111" s="17">
        <f t="shared" si="40"/>
        <v>604820.46478098736</v>
      </c>
      <c r="D111" s="18">
        <f t="shared" si="45"/>
        <v>4822.9233204384363</v>
      </c>
      <c r="E111" s="17">
        <f t="shared" si="41"/>
        <v>609643.38810142584</v>
      </c>
      <c r="F111" s="18">
        <f t="shared" si="42"/>
        <v>20379.532695807367</v>
      </c>
      <c r="G111" s="17">
        <f t="shared" si="43"/>
        <v>589263.85540561844</v>
      </c>
      <c r="H111" s="17">
        <f t="shared" si="44"/>
        <v>15556.609375368931</v>
      </c>
      <c r="I111" s="16"/>
      <c r="J111" s="16"/>
      <c r="K111" s="2">
        <v>87</v>
      </c>
      <c r="L111" s="2">
        <v>493.11158623534249</v>
      </c>
      <c r="M111" s="19">
        <f t="shared" si="46"/>
        <v>2.7717137029446004E-3</v>
      </c>
      <c r="N111" s="17">
        <f t="shared" si="47"/>
        <v>297419616.74848241</v>
      </c>
      <c r="O111" s="17">
        <f t="shared" si="48"/>
        <v>2371665.7902631368</v>
      </c>
      <c r="P111" s="17">
        <f t="shared" si="49"/>
        <v>824362.02726630005</v>
      </c>
      <c r="Q111" s="17">
        <f t="shared" si="50"/>
        <v>6573.5785696772709</v>
      </c>
      <c r="R111" s="17">
        <f t="shared" si="51"/>
        <v>3202601.3960991139</v>
      </c>
      <c r="S111" s="17">
        <f t="shared" si="52"/>
        <v>300622218.1445815</v>
      </c>
      <c r="T111" s="17">
        <f>+F111*L111</f>
        <v>10049383.694364596</v>
      </c>
      <c r="U111" s="17">
        <f t="shared" si="53"/>
        <v>290572834.45021689</v>
      </c>
      <c r="V111" s="17">
        <f t="shared" si="54"/>
        <v>6846782.2982654823</v>
      </c>
      <c r="W111" s="16">
        <f>-F111</f>
        <v>-20379.532695807367</v>
      </c>
      <c r="X111" s="16">
        <f t="shared" si="55"/>
        <v>-10049383.694364596</v>
      </c>
      <c r="Y111" s="16"/>
      <c r="Z111" s="16"/>
      <c r="AA111" s="2">
        <v>87</v>
      </c>
      <c r="AB111" s="20">
        <v>566.72429093732751</v>
      </c>
      <c r="AC111" s="19">
        <f t="shared" si="56"/>
        <v>4.7176666275134949E-3</v>
      </c>
      <c r="AD111" s="17">
        <f t="shared" si="57"/>
        <v>341156984.12862229</v>
      </c>
      <c r="AE111" s="17">
        <f t="shared" si="58"/>
        <v>2720433.6997429268</v>
      </c>
      <c r="AF111" s="17">
        <f t="shared" si="59"/>
        <v>1609464.9187667524</v>
      </c>
      <c r="AG111" s="17">
        <f t="shared" si="60"/>
        <v>12834.099277640273</v>
      </c>
      <c r="AH111" s="17">
        <f t="shared" si="61"/>
        <v>4342732.7177873198</v>
      </c>
      <c r="AI111" s="17">
        <f t="shared" si="62"/>
        <v>345499716.84640962</v>
      </c>
      <c r="AJ111" s="17">
        <f>+AB111*F111</f>
        <v>11549576.216665514</v>
      </c>
      <c r="AK111" s="17">
        <f t="shared" si="63"/>
        <v>333950140.62974411</v>
      </c>
      <c r="AL111" s="17">
        <f t="shared" si="64"/>
        <v>7206843.498878194</v>
      </c>
      <c r="AM111" s="16">
        <f>-F111</f>
        <v>-20379.532695807367</v>
      </c>
      <c r="AN111" s="16">
        <f t="shared" si="65"/>
        <v>-11549576.216665514</v>
      </c>
      <c r="AQ111" s="2">
        <v>87</v>
      </c>
      <c r="AR111" s="20">
        <v>527.2692972936477</v>
      </c>
      <c r="AS111" s="19">
        <f t="shared" si="66"/>
        <v>1.2889632830821451E-3</v>
      </c>
      <c r="AT111" s="17">
        <f t="shared" si="67"/>
        <v>318492736.01124197</v>
      </c>
      <c r="AU111" s="17">
        <f t="shared" si="68"/>
        <v>2539705.8025394185</v>
      </c>
      <c r="AV111" s="17">
        <f t="shared" si="69"/>
        <v>410525.44264686538</v>
      </c>
      <c r="AW111" s="17">
        <f t="shared" si="70"/>
        <v>3273.587529303983</v>
      </c>
      <c r="AX111" s="17">
        <f t="shared" si="71"/>
        <v>2953504.8327155877</v>
      </c>
      <c r="AY111" s="17">
        <f t="shared" si="72"/>
        <v>321446240.84395754</v>
      </c>
      <c r="AZ111" s="17">
        <f>+AR111*F111</f>
        <v>10745501.883691268</v>
      </c>
      <c r="BA111" s="17">
        <f t="shared" si="73"/>
        <v>310700738.96026629</v>
      </c>
      <c r="BB111" s="17">
        <f t="shared" si="74"/>
        <v>7791997.0509756804</v>
      </c>
      <c r="BC111" s="16">
        <f t="shared" si="75"/>
        <v>-6846782.2982654823</v>
      </c>
      <c r="BD111" s="16">
        <f t="shared" si="76"/>
        <v>-10745501.883691268</v>
      </c>
    </row>
    <row r="112" spans="2:56" x14ac:dyDescent="0.35">
      <c r="B112" s="2">
        <v>88</v>
      </c>
      <c r="C112" s="17">
        <f t="shared" si="40"/>
        <v>589263.85540561844</v>
      </c>
      <c r="D112" s="18">
        <f t="shared" si="45"/>
        <v>4698.8727326816443</v>
      </c>
      <c r="E112" s="17">
        <f t="shared" si="41"/>
        <v>593962.72813830012</v>
      </c>
      <c r="F112" s="18">
        <f t="shared" si="42"/>
        <v>20379.532695807367</v>
      </c>
      <c r="G112" s="17">
        <f t="shared" si="43"/>
        <v>573583.19544249272</v>
      </c>
      <c r="H112" s="17">
        <f t="shared" si="44"/>
        <v>15680.659963125723</v>
      </c>
      <c r="I112" s="16"/>
      <c r="J112" s="16"/>
      <c r="K112" s="2">
        <v>88</v>
      </c>
      <c r="L112" s="2">
        <v>494.47457257047859</v>
      </c>
      <c r="M112" s="19">
        <f t="shared" si="46"/>
        <v>2.7640525454730724E-3</v>
      </c>
      <c r="N112" s="17">
        <f t="shared" si="47"/>
        <v>290572834.45021689</v>
      </c>
      <c r="O112" s="17">
        <f t="shared" si="48"/>
        <v>2317068.5867306348</v>
      </c>
      <c r="P112" s="17">
        <f t="shared" si="49"/>
        <v>803158.5827074477</v>
      </c>
      <c r="Q112" s="17">
        <f t="shared" si="50"/>
        <v>6404.4993251885053</v>
      </c>
      <c r="R112" s="17">
        <f t="shared" si="51"/>
        <v>3126631.6687632706</v>
      </c>
      <c r="S112" s="17">
        <f t="shared" si="52"/>
        <v>293699466.11898017</v>
      </c>
      <c r="T112" s="17">
        <f>+F112*L112</f>
        <v>10077160.718945442</v>
      </c>
      <c r="U112" s="17">
        <f t="shared" si="53"/>
        <v>283622305.40003473</v>
      </c>
      <c r="V112" s="17">
        <f t="shared" si="54"/>
        <v>6950529.0501821712</v>
      </c>
      <c r="W112" s="16">
        <f>-F112</f>
        <v>-20379.532695807367</v>
      </c>
      <c r="X112" s="16">
        <f t="shared" si="55"/>
        <v>-10077160.718945442</v>
      </c>
      <c r="Y112" s="16"/>
      <c r="Z112" s="16"/>
      <c r="AA112" s="2">
        <v>88</v>
      </c>
      <c r="AB112" s="20">
        <v>569.39790721168356</v>
      </c>
      <c r="AC112" s="19">
        <f t="shared" si="56"/>
        <v>4.7176666275130508E-3</v>
      </c>
      <c r="AD112" s="17">
        <f t="shared" si="57"/>
        <v>333950140.62974411</v>
      </c>
      <c r="AE112" s="17">
        <f t="shared" si="58"/>
        <v>2662965.3176337401</v>
      </c>
      <c r="AF112" s="17">
        <f t="shared" si="59"/>
        <v>1575465.4337022339</v>
      </c>
      <c r="AG112" s="17">
        <f t="shared" si="60"/>
        <v>12562.982609225386</v>
      </c>
      <c r="AH112" s="17">
        <f t="shared" si="61"/>
        <v>4250993.7339451993</v>
      </c>
      <c r="AI112" s="17">
        <f t="shared" si="62"/>
        <v>338201134.3636893</v>
      </c>
      <c r="AJ112" s="17">
        <f>+AB112*F112</f>
        <v>11604063.266944794</v>
      </c>
      <c r="AK112" s="17">
        <f t="shared" si="63"/>
        <v>326597071.09674454</v>
      </c>
      <c r="AL112" s="17">
        <f t="shared" si="64"/>
        <v>7353069.5329995947</v>
      </c>
      <c r="AM112" s="16">
        <f>-F112</f>
        <v>-20379.532695807367</v>
      </c>
      <c r="AN112" s="16">
        <f t="shared" si="65"/>
        <v>-11604063.266944794</v>
      </c>
      <c r="AQ112" s="2">
        <v>88</v>
      </c>
      <c r="AR112" s="20">
        <v>528.75376562038127</v>
      </c>
      <c r="AS112" s="19">
        <f t="shared" si="66"/>
        <v>2.8153892789757329E-3</v>
      </c>
      <c r="AT112" s="17">
        <f t="shared" si="67"/>
        <v>310700738.96026629</v>
      </c>
      <c r="AU112" s="17">
        <f t="shared" si="68"/>
        <v>2477571.3238333343</v>
      </c>
      <c r="AV112" s="17">
        <f t="shared" si="69"/>
        <v>874743.52943857154</v>
      </c>
      <c r="AW112" s="17">
        <f t="shared" si="70"/>
        <v>6975.3277430180833</v>
      </c>
      <c r="AX112" s="17">
        <f t="shared" si="71"/>
        <v>3359290.1810149238</v>
      </c>
      <c r="AY112" s="17">
        <f t="shared" si="72"/>
        <v>314060029.14128119</v>
      </c>
      <c r="AZ112" s="17">
        <f>+AR112*F112</f>
        <v>10775754.654491825</v>
      </c>
      <c r="BA112" s="17">
        <f t="shared" si="73"/>
        <v>303284274.48678935</v>
      </c>
      <c r="BB112" s="17">
        <f t="shared" si="74"/>
        <v>7416464.4734769017</v>
      </c>
      <c r="BC112" s="16">
        <f t="shared" si="75"/>
        <v>-6950529.0501821712</v>
      </c>
      <c r="BD112" s="16">
        <f t="shared" si="76"/>
        <v>-10775754.654491825</v>
      </c>
    </row>
    <row r="113" spans="2:56" x14ac:dyDescent="0.35">
      <c r="B113" s="2">
        <v>89</v>
      </c>
      <c r="C113" s="17">
        <f t="shared" si="40"/>
        <v>573583.19544249272</v>
      </c>
      <c r="D113" s="18">
        <f t="shared" si="45"/>
        <v>4573.8329481177907</v>
      </c>
      <c r="E113" s="17">
        <f t="shared" si="41"/>
        <v>578157.02839061047</v>
      </c>
      <c r="F113" s="18">
        <f t="shared" si="42"/>
        <v>20379.532695807367</v>
      </c>
      <c r="G113" s="17">
        <f t="shared" si="43"/>
        <v>557777.49569480307</v>
      </c>
      <c r="H113" s="17">
        <f t="shared" si="44"/>
        <v>15805.699747689578</v>
      </c>
      <c r="I113" s="16"/>
      <c r="J113" s="16"/>
      <c r="K113" s="2">
        <v>89</v>
      </c>
      <c r="L113" s="2">
        <v>495.8375589057805</v>
      </c>
      <c r="M113" s="19">
        <f t="shared" si="46"/>
        <v>2.756433618449794E-3</v>
      </c>
      <c r="N113" s="17">
        <f t="shared" si="47"/>
        <v>283622305.40003473</v>
      </c>
      <c r="O113" s="17">
        <f t="shared" si="48"/>
        <v>2261644.0920293075</v>
      </c>
      <c r="P113" s="17">
        <f t="shared" si="49"/>
        <v>781786.05754689022</v>
      </c>
      <c r="Q113" s="17">
        <f t="shared" si="50"/>
        <v>6234.0718082379426</v>
      </c>
      <c r="R113" s="17">
        <f t="shared" si="51"/>
        <v>3049664.2213844359</v>
      </c>
      <c r="S113" s="17">
        <f t="shared" si="52"/>
        <v>286671969.62141919</v>
      </c>
      <c r="T113" s="17">
        <f>+F113*L113</f>
        <v>10104937.743529664</v>
      </c>
      <c r="U113" s="17">
        <f t="shared" si="53"/>
        <v>276567031.87788951</v>
      </c>
      <c r="V113" s="17">
        <f t="shared" si="54"/>
        <v>7055273.5221452285</v>
      </c>
      <c r="W113" s="16">
        <f>-F113</f>
        <v>-20379.532695807367</v>
      </c>
      <c r="X113" s="16">
        <f t="shared" si="55"/>
        <v>-10104937.743529664</v>
      </c>
      <c r="Y113" s="16"/>
      <c r="Z113" s="16"/>
      <c r="AA113" s="2">
        <v>89</v>
      </c>
      <c r="AB113" s="20">
        <v>572.08413671631195</v>
      </c>
      <c r="AC113" s="19">
        <f t="shared" si="56"/>
        <v>4.7176666275130508E-3</v>
      </c>
      <c r="AD113" s="17">
        <f t="shared" si="57"/>
        <v>326597071.09674454</v>
      </c>
      <c r="AE113" s="17">
        <f t="shared" si="58"/>
        <v>2604330.9085941077</v>
      </c>
      <c r="AF113" s="17">
        <f t="shared" si="59"/>
        <v>1540776.1029566189</v>
      </c>
      <c r="AG113" s="17">
        <f t="shared" si="60"/>
        <v>12286.365014475163</v>
      </c>
      <c r="AH113" s="17">
        <f t="shared" si="61"/>
        <v>4157393.3765652021</v>
      </c>
      <c r="AI113" s="17">
        <f t="shared" si="62"/>
        <v>330754464.47330976</v>
      </c>
      <c r="AJ113" s="17">
        <f>+AB113*F113</f>
        <v>11658807.368962811</v>
      </c>
      <c r="AK113" s="17">
        <f t="shared" si="63"/>
        <v>319095657.10434693</v>
      </c>
      <c r="AL113" s="17">
        <f t="shared" si="64"/>
        <v>7501413.9923976092</v>
      </c>
      <c r="AM113" s="16">
        <f>-F113</f>
        <v>-20379.532695807367</v>
      </c>
      <c r="AN113" s="16">
        <f t="shared" si="65"/>
        <v>-11658807.368962811</v>
      </c>
      <c r="AQ113" s="2">
        <v>89</v>
      </c>
      <c r="AR113" s="20">
        <v>532.12576407309029</v>
      </c>
      <c r="AS113" s="19">
        <f t="shared" si="66"/>
        <v>6.377256621052485E-3</v>
      </c>
      <c r="AT113" s="17">
        <f t="shared" si="67"/>
        <v>303284274.48678935</v>
      </c>
      <c r="AU113" s="17">
        <f t="shared" si="68"/>
        <v>2418431.3946358534</v>
      </c>
      <c r="AV113" s="17">
        <f t="shared" si="69"/>
        <v>1934121.6475319767</v>
      </c>
      <c r="AW113" s="17">
        <f t="shared" si="70"/>
        <v>15422.957624002691</v>
      </c>
      <c r="AX113" s="17">
        <f t="shared" si="71"/>
        <v>4367975.9997918326</v>
      </c>
      <c r="AY113" s="17">
        <f t="shared" si="72"/>
        <v>307652250.48658121</v>
      </c>
      <c r="AZ113" s="17">
        <f>+AR113*F113</f>
        <v>10844474.40720902</v>
      </c>
      <c r="BA113" s="17">
        <f t="shared" si="73"/>
        <v>296807776.07937217</v>
      </c>
      <c r="BB113" s="17">
        <f t="shared" si="74"/>
        <v>6476498.4074171875</v>
      </c>
      <c r="BC113" s="16">
        <f t="shared" si="75"/>
        <v>-7055273.5221452285</v>
      </c>
      <c r="BD113" s="16">
        <f t="shared" si="76"/>
        <v>-10844474.40720902</v>
      </c>
    </row>
    <row r="114" spans="2:56" x14ac:dyDescent="0.35">
      <c r="B114" s="2">
        <v>90</v>
      </c>
      <c r="C114" s="17">
        <f t="shared" si="40"/>
        <v>557777.49569480307</v>
      </c>
      <c r="D114" s="18">
        <f t="shared" si="45"/>
        <v>4447.7960787526245</v>
      </c>
      <c r="E114" s="17">
        <f t="shared" si="41"/>
        <v>562225.29177355568</v>
      </c>
      <c r="F114" s="18">
        <f t="shared" si="42"/>
        <v>20379.532695807367</v>
      </c>
      <c r="G114" s="17">
        <f t="shared" si="43"/>
        <v>541845.75907774828</v>
      </c>
      <c r="H114" s="17">
        <f t="shared" si="44"/>
        <v>15931.736617054743</v>
      </c>
      <c r="I114" s="16"/>
      <c r="J114" s="16"/>
      <c r="K114" s="2">
        <v>90</v>
      </c>
      <c r="L114" s="2">
        <v>497.20054523920368</v>
      </c>
      <c r="M114" s="19">
        <f t="shared" si="46"/>
        <v>2.7488565739777204E-3</v>
      </c>
      <c r="N114" s="17">
        <f t="shared" si="47"/>
        <v>276567031.87788951</v>
      </c>
      <c r="O114" s="17">
        <f t="shared" si="48"/>
        <v>2205384.3501993949</v>
      </c>
      <c r="P114" s="17">
        <f t="shared" si="49"/>
        <v>760243.10372304241</v>
      </c>
      <c r="Q114" s="17">
        <f t="shared" si="50"/>
        <v>6062.2852691931894</v>
      </c>
      <c r="R114" s="17">
        <f t="shared" si="51"/>
        <v>2971689.7391916309</v>
      </c>
      <c r="S114" s="17">
        <f t="shared" si="52"/>
        <v>279538721.61708117</v>
      </c>
      <c r="T114" s="17">
        <f>+F114*L114</f>
        <v>10132714.768075602</v>
      </c>
      <c r="U114" s="17">
        <f t="shared" si="53"/>
        <v>269406006.84900558</v>
      </c>
      <c r="V114" s="17">
        <f t="shared" si="54"/>
        <v>7161025.0288839713</v>
      </c>
      <c r="W114" s="16">
        <f>-F114</f>
        <v>-20379.532695807367</v>
      </c>
      <c r="X114" s="16">
        <f t="shared" si="55"/>
        <v>-10132714.768075602</v>
      </c>
      <c r="Y114" s="16"/>
      <c r="Z114" s="16"/>
      <c r="AA114" s="2">
        <v>90</v>
      </c>
      <c r="AB114" s="20">
        <v>574.78303895622832</v>
      </c>
      <c r="AC114" s="19">
        <f t="shared" si="56"/>
        <v>4.7176666275134949E-3</v>
      </c>
      <c r="AD114" s="17">
        <f t="shared" si="57"/>
        <v>319095657.10434693</v>
      </c>
      <c r="AE114" s="17">
        <f t="shared" si="58"/>
        <v>2544513.5800033854</v>
      </c>
      <c r="AF114" s="17">
        <f t="shared" si="59"/>
        <v>1505386.932505667</v>
      </c>
      <c r="AG114" s="17">
        <f t="shared" si="60"/>
        <v>12004.166799636861</v>
      </c>
      <c r="AH114" s="17">
        <f t="shared" si="61"/>
        <v>4061904.6793086892</v>
      </c>
      <c r="AI114" s="17">
        <f t="shared" si="62"/>
        <v>323157561.78365564</v>
      </c>
      <c r="AJ114" s="17">
        <f>+AB114*F114</f>
        <v>11713809.735403975</v>
      </c>
      <c r="AK114" s="17">
        <f t="shared" si="63"/>
        <v>311443752.04825169</v>
      </c>
      <c r="AL114" s="17">
        <f t="shared" si="64"/>
        <v>7651905.0560952863</v>
      </c>
      <c r="AM114" s="16">
        <f>-F114</f>
        <v>-20379.532695807367</v>
      </c>
      <c r="AN114" s="16">
        <f t="shared" si="65"/>
        <v>-11713809.735403975</v>
      </c>
      <c r="AQ114" s="2">
        <v>90</v>
      </c>
      <c r="AR114" s="20">
        <v>534.97239841956093</v>
      </c>
      <c r="AS114" s="19">
        <f t="shared" si="66"/>
        <v>5.3495518139949905E-3</v>
      </c>
      <c r="AT114" s="17">
        <f t="shared" si="67"/>
        <v>296807776.07937217</v>
      </c>
      <c r="AU114" s="17">
        <f t="shared" si="68"/>
        <v>2366786.886847537</v>
      </c>
      <c r="AV114" s="17">
        <f t="shared" si="69"/>
        <v>1587788.5769332242</v>
      </c>
      <c r="AW114" s="17">
        <f t="shared" si="70"/>
        <v>12661.249083874798</v>
      </c>
      <c r="AX114" s="17">
        <f t="shared" si="71"/>
        <v>3967236.712864636</v>
      </c>
      <c r="AY114" s="17">
        <f t="shared" si="72"/>
        <v>300775012.7922368</v>
      </c>
      <c r="AZ114" s="17">
        <f>+AR114*F114</f>
        <v>10902487.484945927</v>
      </c>
      <c r="BA114" s="17">
        <f t="shared" si="73"/>
        <v>289872525.30729085</v>
      </c>
      <c r="BB114" s="17">
        <f t="shared" si="74"/>
        <v>6935250.7720812913</v>
      </c>
      <c r="BC114" s="16">
        <f t="shared" si="75"/>
        <v>-7161025.0288839713</v>
      </c>
      <c r="BD114" s="16">
        <f t="shared" si="76"/>
        <v>-10902487.484945927</v>
      </c>
    </row>
    <row r="115" spans="2:56" x14ac:dyDescent="0.35">
      <c r="B115" s="2">
        <v>91</v>
      </c>
      <c r="C115" s="17">
        <f t="shared" si="40"/>
        <v>541845.75907774828</v>
      </c>
      <c r="D115" s="18">
        <f t="shared" si="45"/>
        <v>4320.7541736919211</v>
      </c>
      <c r="E115" s="17">
        <f t="shared" si="41"/>
        <v>546166.51325144025</v>
      </c>
      <c r="F115" s="18">
        <f t="shared" si="42"/>
        <v>20379.532695807367</v>
      </c>
      <c r="G115" s="17">
        <f t="shared" si="43"/>
        <v>525786.98055563285</v>
      </c>
      <c r="H115" s="17">
        <f t="shared" si="44"/>
        <v>16058.778522115446</v>
      </c>
      <c r="I115" s="16"/>
      <c r="J115" s="16"/>
      <c r="K115" s="2">
        <v>91</v>
      </c>
      <c r="L115" s="2">
        <v>498.56353157548489</v>
      </c>
      <c r="M115" s="19">
        <f t="shared" si="46"/>
        <v>2.7413210812661237E-3</v>
      </c>
      <c r="N115" s="17">
        <f t="shared" si="47"/>
        <v>269406006.84900558</v>
      </c>
      <c r="O115" s="17">
        <f t="shared" si="48"/>
        <v>2148281.33100418</v>
      </c>
      <c r="P115" s="17">
        <f t="shared" si="49"/>
        <v>738528.36599490466</v>
      </c>
      <c r="Q115" s="17">
        <f t="shared" si="50"/>
        <v>5889.1289011722065</v>
      </c>
      <c r="R115" s="17">
        <f t="shared" si="51"/>
        <v>2892698.8259002571</v>
      </c>
      <c r="S115" s="17">
        <f t="shared" si="52"/>
        <v>272298705.67490584</v>
      </c>
      <c r="T115" s="17">
        <f>+F115*L115</f>
        <v>10160491.792679783</v>
      </c>
      <c r="U115" s="17">
        <f t="shared" si="53"/>
        <v>262138213.88222605</v>
      </c>
      <c r="V115" s="17">
        <f t="shared" si="54"/>
        <v>7267792.9667795263</v>
      </c>
      <c r="W115" s="16">
        <f>-F115</f>
        <v>-20379.532695807367</v>
      </c>
      <c r="X115" s="16">
        <f t="shared" si="55"/>
        <v>-10160491.792679783</v>
      </c>
      <c r="Y115" s="16"/>
      <c r="Z115" s="16"/>
      <c r="AA115" s="2">
        <v>91</v>
      </c>
      <c r="AB115" s="20">
        <v>577.49467371717287</v>
      </c>
      <c r="AC115" s="19">
        <f t="shared" si="56"/>
        <v>4.7176666275134949E-3</v>
      </c>
      <c r="AD115" s="17">
        <f t="shared" si="57"/>
        <v>311443752.04825169</v>
      </c>
      <c r="AE115" s="17">
        <f t="shared" si="58"/>
        <v>2483496.2145374431</v>
      </c>
      <c r="AF115" s="17">
        <f t="shared" si="59"/>
        <v>1469287.7953856247</v>
      </c>
      <c r="AG115" s="17">
        <f t="shared" si="60"/>
        <v>11716.307210879389</v>
      </c>
      <c r="AH115" s="17">
        <f t="shared" si="61"/>
        <v>3964500.3171339473</v>
      </c>
      <c r="AI115" s="17">
        <f t="shared" si="62"/>
        <v>315408252.36538565</v>
      </c>
      <c r="AJ115" s="17">
        <f>+AB115*F115</f>
        <v>11769071.584673733</v>
      </c>
      <c r="AK115" s="17">
        <f t="shared" si="63"/>
        <v>303639180.78071189</v>
      </c>
      <c r="AL115" s="17">
        <f t="shared" si="64"/>
        <v>7804571.2675397852</v>
      </c>
      <c r="AM115" s="16">
        <f>-F115</f>
        <v>-20379.532695807367</v>
      </c>
      <c r="AN115" s="16">
        <f t="shared" si="65"/>
        <v>-11769071.584673733</v>
      </c>
      <c r="AQ115" s="2">
        <v>91</v>
      </c>
      <c r="AR115" s="20">
        <v>537.42892960750942</v>
      </c>
      <c r="AS115" s="19">
        <f t="shared" si="66"/>
        <v>4.5918839835581426E-3</v>
      </c>
      <c r="AT115" s="17">
        <f t="shared" si="67"/>
        <v>289872525.30729085</v>
      </c>
      <c r="AU115" s="17">
        <f t="shared" si="68"/>
        <v>2311484.2232812974</v>
      </c>
      <c r="AV115" s="17">
        <f t="shared" si="69"/>
        <v>1331061.0062321012</v>
      </c>
      <c r="AW115" s="17">
        <f t="shared" si="70"/>
        <v>10614.067383132722</v>
      </c>
      <c r="AX115" s="17">
        <f t="shared" si="71"/>
        <v>3653159.2968965312</v>
      </c>
      <c r="AY115" s="17">
        <f t="shared" si="72"/>
        <v>293525684.60418737</v>
      </c>
      <c r="AZ115" s="17">
        <f>+AR115*F115</f>
        <v>10952550.442608994</v>
      </c>
      <c r="BA115" s="17">
        <f t="shared" si="73"/>
        <v>282573134.16157836</v>
      </c>
      <c r="BB115" s="17">
        <f t="shared" si="74"/>
        <v>7299391.1457124623</v>
      </c>
      <c r="BC115" s="16">
        <f t="shared" si="75"/>
        <v>-7267792.9667795263</v>
      </c>
      <c r="BD115" s="16">
        <f t="shared" si="76"/>
        <v>-10952550.442608994</v>
      </c>
    </row>
    <row r="116" spans="2:56" x14ac:dyDescent="0.35">
      <c r="B116" s="2">
        <v>92</v>
      </c>
      <c r="C116" s="17">
        <f t="shared" si="40"/>
        <v>525786.98055563285</v>
      </c>
      <c r="D116" s="18">
        <f t="shared" si="45"/>
        <v>4192.6992186399093</v>
      </c>
      <c r="E116" s="17">
        <f t="shared" si="41"/>
        <v>529979.67977427272</v>
      </c>
      <c r="F116" s="18">
        <f t="shared" si="42"/>
        <v>20379.532695807367</v>
      </c>
      <c r="G116" s="17">
        <f t="shared" si="43"/>
        <v>509600.14707846538</v>
      </c>
      <c r="H116" s="17">
        <f t="shared" si="44"/>
        <v>16186.833477167458</v>
      </c>
      <c r="I116" s="16"/>
      <c r="J116" s="16"/>
      <c r="K116" s="2">
        <v>92</v>
      </c>
      <c r="L116" s="2">
        <v>499.92651790852199</v>
      </c>
      <c r="M116" s="19">
        <f t="shared" si="46"/>
        <v>2.7338267777627934E-3</v>
      </c>
      <c r="N116" s="17">
        <f t="shared" si="47"/>
        <v>262138213.88222605</v>
      </c>
      <c r="O116" s="17">
        <f t="shared" si="48"/>
        <v>2090326.9292788808</v>
      </c>
      <c r="P116" s="17">
        <f t="shared" si="49"/>
        <v>716640.46858613996</v>
      </c>
      <c r="Q116" s="17">
        <f t="shared" si="50"/>
        <v>5714.5917335412769</v>
      </c>
      <c r="R116" s="17">
        <f t="shared" si="51"/>
        <v>2812681.989598562</v>
      </c>
      <c r="S116" s="17">
        <f t="shared" si="52"/>
        <v>264950895.87182462</v>
      </c>
      <c r="T116" s="17">
        <f>+F116*L116</f>
        <v>10188268.817217851</v>
      </c>
      <c r="U116" s="17">
        <f t="shared" si="53"/>
        <v>254762627.05460677</v>
      </c>
      <c r="V116" s="17">
        <f t="shared" si="54"/>
        <v>7375586.827619289</v>
      </c>
      <c r="W116" s="16">
        <f>-F116</f>
        <v>-20379.532695807367</v>
      </c>
      <c r="X116" s="16">
        <f t="shared" si="55"/>
        <v>-10188268.817217851</v>
      </c>
      <c r="Y116" s="16"/>
      <c r="Z116" s="16"/>
      <c r="AA116" s="2">
        <v>92</v>
      </c>
      <c r="AB116" s="20">
        <v>580.21910106693497</v>
      </c>
      <c r="AC116" s="19">
        <f t="shared" si="56"/>
        <v>4.7176666275130508E-3</v>
      </c>
      <c r="AD116" s="17">
        <f t="shared" si="57"/>
        <v>303639180.78071189</v>
      </c>
      <c r="AE116" s="17">
        <f t="shared" si="58"/>
        <v>2421261.4672626937</v>
      </c>
      <c r="AF116" s="17">
        <f t="shared" si="59"/>
        <v>1432468.4299745667</v>
      </c>
      <c r="AG116" s="17">
        <f t="shared" si="60"/>
        <v>11422.704420588492</v>
      </c>
      <c r="AH116" s="17">
        <f t="shared" si="61"/>
        <v>3865152.6016578488</v>
      </c>
      <c r="AI116" s="17">
        <f t="shared" si="62"/>
        <v>307504333.38236976</v>
      </c>
      <c r="AJ116" s="17">
        <f>+AB116*F116</f>
        <v>11824594.14092556</v>
      </c>
      <c r="AK116" s="17">
        <f t="shared" si="63"/>
        <v>295679739.24144417</v>
      </c>
      <c r="AL116" s="17">
        <f t="shared" si="64"/>
        <v>7959441.5392677113</v>
      </c>
      <c r="AM116" s="16">
        <f>-F116</f>
        <v>-20379.532695807367</v>
      </c>
      <c r="AN116" s="16">
        <f t="shared" si="65"/>
        <v>-11824594.14092556</v>
      </c>
      <c r="AQ116" s="2">
        <v>92</v>
      </c>
      <c r="AR116" s="20">
        <v>539.89665158262346</v>
      </c>
      <c r="AS116" s="19">
        <f t="shared" si="66"/>
        <v>4.5917177866034997E-3</v>
      </c>
      <c r="AT116" s="17">
        <f t="shared" si="67"/>
        <v>282573134.16157836</v>
      </c>
      <c r="AU116" s="17">
        <f t="shared" si="68"/>
        <v>2253277.8532398893</v>
      </c>
      <c r="AV116" s="17">
        <f t="shared" si="69"/>
        <v>1297496.0861460164</v>
      </c>
      <c r="AW116" s="17">
        <f t="shared" si="70"/>
        <v>10346.415996881349</v>
      </c>
      <c r="AX116" s="17">
        <f t="shared" si="71"/>
        <v>3561120.3553827871</v>
      </c>
      <c r="AY116" s="17">
        <f t="shared" si="72"/>
        <v>286134254.51696116</v>
      </c>
      <c r="AZ116" s="17">
        <f>+AR116*F116</f>
        <v>11002841.463284994</v>
      </c>
      <c r="BA116" s="17">
        <f t="shared" si="73"/>
        <v>275131413.05367619</v>
      </c>
      <c r="BB116" s="17">
        <f t="shared" si="74"/>
        <v>7441721.1079022065</v>
      </c>
      <c r="BC116" s="16">
        <f t="shared" si="75"/>
        <v>-7375586.827619289</v>
      </c>
      <c r="BD116" s="16">
        <f t="shared" si="76"/>
        <v>-11002841.463284994</v>
      </c>
    </row>
    <row r="117" spans="2:56" x14ac:dyDescent="0.35">
      <c r="B117" s="2">
        <v>93</v>
      </c>
      <c r="C117" s="17">
        <f t="shared" si="40"/>
        <v>509600.14707846538</v>
      </c>
      <c r="D117" s="18">
        <f t="shared" si="45"/>
        <v>4063.6231353936951</v>
      </c>
      <c r="E117" s="17">
        <f t="shared" si="41"/>
        <v>513663.7702138591</v>
      </c>
      <c r="F117" s="18">
        <f t="shared" si="42"/>
        <v>20379.532695807367</v>
      </c>
      <c r="G117" s="17">
        <f t="shared" si="43"/>
        <v>493284.23751805176</v>
      </c>
      <c r="H117" s="17">
        <f t="shared" si="44"/>
        <v>16315.909560413673</v>
      </c>
      <c r="I117" s="16"/>
      <c r="J117" s="16"/>
      <c r="K117" s="2">
        <v>93</v>
      </c>
      <c r="L117" s="2">
        <v>501.28950424474908</v>
      </c>
      <c r="M117" s="19">
        <f t="shared" si="46"/>
        <v>2.7263733516862398E-3</v>
      </c>
      <c r="N117" s="17">
        <f t="shared" si="47"/>
        <v>254762627.05460677</v>
      </c>
      <c r="O117" s="17">
        <f t="shared" si="48"/>
        <v>2031512.9641698718</v>
      </c>
      <c r="P117" s="17">
        <f t="shared" si="49"/>
        <v>694578.03740725981</v>
      </c>
      <c r="Q117" s="17">
        <f t="shared" si="50"/>
        <v>5538.6628091178609</v>
      </c>
      <c r="R117" s="17">
        <f t="shared" si="51"/>
        <v>2731629.6643862496</v>
      </c>
      <c r="S117" s="17">
        <f t="shared" si="52"/>
        <v>257494256.71899301</v>
      </c>
      <c r="T117" s="17">
        <f>+F117*L117</f>
        <v>10216045.841820929</v>
      </c>
      <c r="U117" s="17">
        <f t="shared" si="53"/>
        <v>247278210.87717208</v>
      </c>
      <c r="V117" s="17">
        <f t="shared" si="54"/>
        <v>7484416.1774346791</v>
      </c>
      <c r="W117" s="16">
        <f>-F117</f>
        <v>-20379.532695807367</v>
      </c>
      <c r="X117" s="16">
        <f t="shared" si="55"/>
        <v>-10216045.841820929</v>
      </c>
      <c r="Y117" s="16"/>
      <c r="Z117" s="16"/>
      <c r="AA117" s="2">
        <v>93</v>
      </c>
      <c r="AB117" s="20">
        <v>582.95638135668423</v>
      </c>
      <c r="AC117" s="19">
        <f t="shared" si="56"/>
        <v>4.7176666275132728E-3</v>
      </c>
      <c r="AD117" s="17">
        <f t="shared" si="57"/>
        <v>295679739.24144417</v>
      </c>
      <c r="AE117" s="17">
        <f t="shared" si="58"/>
        <v>2357791.7626929227</v>
      </c>
      <c r="AF117" s="17">
        <f t="shared" si="59"/>
        <v>1394918.4382511878</v>
      </c>
      <c r="AG117" s="17">
        <f t="shared" si="60"/>
        <v>11123.275513482096</v>
      </c>
      <c r="AH117" s="17">
        <f t="shared" si="61"/>
        <v>3763833.476457593</v>
      </c>
      <c r="AI117" s="17">
        <f t="shared" si="62"/>
        <v>299443572.71790177</v>
      </c>
      <c r="AJ117" s="17">
        <f>+AB117*F117</f>
        <v>11880378.634088095</v>
      </c>
      <c r="AK117" s="17">
        <f t="shared" si="63"/>
        <v>287563194.08381367</v>
      </c>
      <c r="AL117" s="17">
        <f t="shared" si="64"/>
        <v>8116545.1576305022</v>
      </c>
      <c r="AM117" s="16">
        <f>-F117</f>
        <v>-20379.532695807367</v>
      </c>
      <c r="AN117" s="16">
        <f t="shared" si="65"/>
        <v>-11880378.634088095</v>
      </c>
      <c r="AQ117" s="2">
        <v>93</v>
      </c>
      <c r="AR117" s="20">
        <v>541.46079507630475</v>
      </c>
      <c r="AS117" s="19">
        <f t="shared" si="66"/>
        <v>2.8971164927513726E-3</v>
      </c>
      <c r="AT117" s="17">
        <f t="shared" si="67"/>
        <v>275131413.05367619</v>
      </c>
      <c r="AU117" s="17">
        <f t="shared" si="68"/>
        <v>2193936.5240927404</v>
      </c>
      <c r="AV117" s="17">
        <f t="shared" si="69"/>
        <v>797087.75443179556</v>
      </c>
      <c r="AW117" s="17">
        <f t="shared" si="70"/>
        <v>6356.0896879986976</v>
      </c>
      <c r="AX117" s="17">
        <f t="shared" si="71"/>
        <v>2997380.368212535</v>
      </c>
      <c r="AY117" s="17">
        <f t="shared" si="72"/>
        <v>278128793.42188871</v>
      </c>
      <c r="AZ117" s="17">
        <f>+AR117*F117</f>
        <v>11034717.976755405</v>
      </c>
      <c r="BA117" s="17">
        <f t="shared" si="73"/>
        <v>267094075.4451333</v>
      </c>
      <c r="BB117" s="17">
        <f t="shared" si="74"/>
        <v>8037337.6085428698</v>
      </c>
      <c r="BC117" s="16">
        <f t="shared" si="75"/>
        <v>-7484416.1774346791</v>
      </c>
      <c r="BD117" s="16">
        <f t="shared" si="76"/>
        <v>-11034717.976755405</v>
      </c>
    </row>
    <row r="118" spans="2:56" x14ac:dyDescent="0.35">
      <c r="B118" s="2">
        <v>94</v>
      </c>
      <c r="C118" s="17">
        <f t="shared" si="40"/>
        <v>493284.23751805176</v>
      </c>
      <c r="D118" s="18">
        <f t="shared" si="45"/>
        <v>3933.5177813336636</v>
      </c>
      <c r="E118" s="17">
        <f t="shared" si="41"/>
        <v>497217.7552993854</v>
      </c>
      <c r="F118" s="18">
        <f t="shared" si="42"/>
        <v>20379.532695807367</v>
      </c>
      <c r="G118" s="17">
        <f t="shared" si="43"/>
        <v>476838.22260357806</v>
      </c>
      <c r="H118" s="17">
        <f t="shared" si="44"/>
        <v>16446.014914473704</v>
      </c>
      <c r="I118" s="16"/>
      <c r="J118" s="16"/>
      <c r="K118" s="2">
        <v>94</v>
      </c>
      <c r="L118" s="2">
        <v>502.65249057813378</v>
      </c>
      <c r="M118" s="19">
        <f t="shared" si="46"/>
        <v>2.7189604446999915E-3</v>
      </c>
      <c r="N118" s="17">
        <f t="shared" si="47"/>
        <v>247278210.87717208</v>
      </c>
      <c r="O118" s="17">
        <f t="shared" si="48"/>
        <v>1971831.1785426484</v>
      </c>
      <c r="P118" s="17">
        <f t="shared" si="49"/>
        <v>672339.67421121406</v>
      </c>
      <c r="Q118" s="17">
        <f t="shared" si="50"/>
        <v>5361.330978083628</v>
      </c>
      <c r="R118" s="17">
        <f t="shared" si="51"/>
        <v>2649532.1837319462</v>
      </c>
      <c r="S118" s="17">
        <f t="shared" si="52"/>
        <v>249927743.06090403</v>
      </c>
      <c r="T118" s="17">
        <f>+F118*L118</f>
        <v>10243822.866366083</v>
      </c>
      <c r="U118" s="17">
        <f t="shared" si="53"/>
        <v>239683920.19453794</v>
      </c>
      <c r="V118" s="17">
        <f t="shared" si="54"/>
        <v>7594290.6826341366</v>
      </c>
      <c r="W118" s="16">
        <f>-F118</f>
        <v>-20379.532695807367</v>
      </c>
      <c r="X118" s="16">
        <f t="shared" si="55"/>
        <v>-10243822.866366083</v>
      </c>
      <c r="Y118" s="16"/>
      <c r="Z118" s="16"/>
      <c r="AA118" s="2">
        <v>94</v>
      </c>
      <c r="AB118" s="20">
        <v>585.70657522230647</v>
      </c>
      <c r="AC118" s="19">
        <f t="shared" si="56"/>
        <v>4.7176666275130508E-3</v>
      </c>
      <c r="AD118" s="17">
        <f t="shared" si="57"/>
        <v>287563194.08381367</v>
      </c>
      <c r="AE118" s="17">
        <f t="shared" si="58"/>
        <v>2293069.2918084385</v>
      </c>
      <c r="AF118" s="17">
        <f t="shared" si="59"/>
        <v>1356627.2840302661</v>
      </c>
      <c r="AG118" s="17">
        <f t="shared" si="60"/>
        <v>10817.936472539655</v>
      </c>
      <c r="AH118" s="17">
        <f t="shared" si="61"/>
        <v>3660514.5123112444</v>
      </c>
      <c r="AI118" s="17">
        <f t="shared" si="62"/>
        <v>291223708.59612489</v>
      </c>
      <c r="AJ118" s="17">
        <f>+AB118*F118</f>
        <v>11936426.299892353</v>
      </c>
      <c r="AK118" s="17">
        <f t="shared" si="63"/>
        <v>279287282.29623252</v>
      </c>
      <c r="AL118" s="17">
        <f t="shared" si="64"/>
        <v>8275911.7875811085</v>
      </c>
      <c r="AM118" s="16">
        <f>-F118</f>
        <v>-20379.532695807367</v>
      </c>
      <c r="AN118" s="16">
        <f t="shared" si="65"/>
        <v>-11936426.299892353</v>
      </c>
      <c r="AQ118" s="2">
        <v>94</v>
      </c>
      <c r="AR118" s="20">
        <v>542.88008034732115</v>
      </c>
      <c r="AS118" s="19">
        <f t="shared" si="66"/>
        <v>2.6212152087878859E-3</v>
      </c>
      <c r="AT118" s="17">
        <f t="shared" si="67"/>
        <v>267094075.4451333</v>
      </c>
      <c r="AU118" s="17">
        <f t="shared" si="68"/>
        <v>2129845.6653277096</v>
      </c>
      <c r="AV118" s="17">
        <f t="shared" si="69"/>
        <v>700111.05273392249</v>
      </c>
      <c r="AW118" s="17">
        <f t="shared" si="70"/>
        <v>5582.7838503279463</v>
      </c>
      <c r="AX118" s="17">
        <f t="shared" si="71"/>
        <v>2835539.5019119601</v>
      </c>
      <c r="AY118" s="17">
        <f t="shared" si="72"/>
        <v>269929614.94704527</v>
      </c>
      <c r="AZ118" s="17">
        <f>+AR118*F118</f>
        <v>11063642.347340763</v>
      </c>
      <c r="BA118" s="17">
        <f t="shared" si="73"/>
        <v>258865972.5997045</v>
      </c>
      <c r="BB118" s="17">
        <f t="shared" si="74"/>
        <v>8228102.8454288021</v>
      </c>
      <c r="BC118" s="16">
        <f t="shared" si="75"/>
        <v>-7594290.6826341366</v>
      </c>
      <c r="BD118" s="16">
        <f t="shared" si="76"/>
        <v>-11063642.347340763</v>
      </c>
    </row>
    <row r="119" spans="2:56" x14ac:dyDescent="0.35">
      <c r="B119" s="2">
        <v>95</v>
      </c>
      <c r="C119" s="17">
        <f t="shared" si="40"/>
        <v>476838.22260357806</v>
      </c>
      <c r="D119" s="18">
        <f t="shared" si="45"/>
        <v>3802.3749489098045</v>
      </c>
      <c r="E119" s="17">
        <f t="shared" si="41"/>
        <v>480640.59755248786</v>
      </c>
      <c r="F119" s="18">
        <f t="shared" si="42"/>
        <v>20379.532695807367</v>
      </c>
      <c r="G119" s="17">
        <f t="shared" si="43"/>
        <v>460261.06485668052</v>
      </c>
      <c r="H119" s="17">
        <f t="shared" si="44"/>
        <v>16577.157746897563</v>
      </c>
      <c r="I119" s="16"/>
      <c r="J119" s="16"/>
      <c r="K119" s="2">
        <v>95</v>
      </c>
      <c r="L119" s="2">
        <v>504.01547691384809</v>
      </c>
      <c r="M119" s="19">
        <f t="shared" si="46"/>
        <v>2.7115877495138552E-3</v>
      </c>
      <c r="N119" s="17">
        <f t="shared" si="47"/>
        <v>239683920.19453794</v>
      </c>
      <c r="O119" s="17">
        <f t="shared" si="48"/>
        <v>1911273.2381814083</v>
      </c>
      <c r="P119" s="17">
        <f t="shared" si="49"/>
        <v>649923.98175496561</v>
      </c>
      <c r="Q119" s="17">
        <f t="shared" si="50"/>
        <v>5182.5850986263831</v>
      </c>
      <c r="R119" s="17">
        <f t="shared" si="51"/>
        <v>2566379.8050350002</v>
      </c>
      <c r="S119" s="17">
        <f t="shared" si="52"/>
        <v>242250299.99957293</v>
      </c>
      <c r="T119" s="17">
        <f>+F119*L119</f>
        <v>10271599.89095871</v>
      </c>
      <c r="U119" s="17">
        <f t="shared" si="53"/>
        <v>231978700.10861424</v>
      </c>
      <c r="V119" s="17">
        <f t="shared" si="54"/>
        <v>7705220.085923709</v>
      </c>
      <c r="W119" s="16">
        <f>-F119</f>
        <v>-20379.532695807367</v>
      </c>
      <c r="X119" s="16">
        <f t="shared" si="55"/>
        <v>-10271599.89095871</v>
      </c>
      <c r="Y119" s="16"/>
      <c r="Z119" s="16"/>
      <c r="AA119" s="2">
        <v>95</v>
      </c>
      <c r="AB119" s="20">
        <v>588.46974358574789</v>
      </c>
      <c r="AC119" s="19">
        <f t="shared" si="56"/>
        <v>4.7176666275132728E-3</v>
      </c>
      <c r="AD119" s="17">
        <f t="shared" si="57"/>
        <v>279287282.29623252</v>
      </c>
      <c r="AE119" s="17">
        <f t="shared" si="58"/>
        <v>2227076.0090370462</v>
      </c>
      <c r="AF119" s="17">
        <f t="shared" si="59"/>
        <v>1317584.2911778146</v>
      </c>
      <c r="AG119" s="17">
        <f t="shared" si="60"/>
        <v>10506.602164769522</v>
      </c>
      <c r="AH119" s="17">
        <f t="shared" si="61"/>
        <v>3555166.9023796301</v>
      </c>
      <c r="AI119" s="17">
        <f t="shared" si="62"/>
        <v>282842449.19861215</v>
      </c>
      <c r="AJ119" s="17">
        <f>+AB119*F119</f>
        <v>11992738.379899127</v>
      </c>
      <c r="AK119" s="17">
        <f t="shared" si="63"/>
        <v>270849710.81871301</v>
      </c>
      <c r="AL119" s="17">
        <f t="shared" si="64"/>
        <v>8437571.4775194973</v>
      </c>
      <c r="AM119" s="16">
        <f>-F119</f>
        <v>-20379.532695807367</v>
      </c>
      <c r="AN119" s="16">
        <f t="shared" si="65"/>
        <v>-11992738.379899127</v>
      </c>
      <c r="AQ119" s="2">
        <v>95</v>
      </c>
      <c r="AR119" s="20">
        <v>544.27825609023091</v>
      </c>
      <c r="AS119" s="19">
        <f t="shared" si="66"/>
        <v>2.5754780724598358E-3</v>
      </c>
      <c r="AT119" s="17">
        <f t="shared" si="67"/>
        <v>258865972.5997045</v>
      </c>
      <c r="AU119" s="17">
        <f t="shared" si="68"/>
        <v>2064233.6177747978</v>
      </c>
      <c r="AV119" s="17">
        <f t="shared" si="69"/>
        <v>666703.63613652764</v>
      </c>
      <c r="AW119" s="17">
        <f t="shared" si="70"/>
        <v>5316.3884190134295</v>
      </c>
      <c r="AX119" s="17">
        <f t="shared" si="71"/>
        <v>2736253.6423303392</v>
      </c>
      <c r="AY119" s="17">
        <f t="shared" si="72"/>
        <v>261602226.24203485</v>
      </c>
      <c r="AZ119" s="17">
        <f>+AR119*F119</f>
        <v>11092136.515607877</v>
      </c>
      <c r="BA119" s="17">
        <f t="shared" si="73"/>
        <v>250510089.72642699</v>
      </c>
      <c r="BB119" s="17">
        <f t="shared" si="74"/>
        <v>8355882.8732775375</v>
      </c>
      <c r="BC119" s="16">
        <f t="shared" si="75"/>
        <v>-7705220.085923709</v>
      </c>
      <c r="BD119" s="16">
        <f t="shared" si="76"/>
        <v>-11092136.515607877</v>
      </c>
    </row>
    <row r="120" spans="2:56" x14ac:dyDescent="0.35">
      <c r="B120" s="2">
        <v>96</v>
      </c>
      <c r="C120" s="17">
        <f t="shared" si="40"/>
        <v>460261.06485668052</v>
      </c>
      <c r="D120" s="18">
        <f t="shared" si="45"/>
        <v>3670.1863651239537</v>
      </c>
      <c r="E120" s="17">
        <f t="shared" si="41"/>
        <v>463931.25122180447</v>
      </c>
      <c r="F120" s="18">
        <f t="shared" si="42"/>
        <v>20379.532695807367</v>
      </c>
      <c r="G120" s="17">
        <f t="shared" si="43"/>
        <v>443551.71852599713</v>
      </c>
      <c r="H120" s="17">
        <f t="shared" si="44"/>
        <v>16709.346330683413</v>
      </c>
      <c r="I120" s="16"/>
      <c r="J120" s="16"/>
      <c r="K120" s="2">
        <v>96</v>
      </c>
      <c r="L120" s="2">
        <v>505.37846324780782</v>
      </c>
      <c r="M120" s="19">
        <f t="shared" si="46"/>
        <v>2.7042549215066103E-3</v>
      </c>
      <c r="N120" s="17">
        <f t="shared" si="47"/>
        <v>231978700.10861424</v>
      </c>
      <c r="O120" s="17">
        <f t="shared" si="48"/>
        <v>1849830.7311806427</v>
      </c>
      <c r="P120" s="17">
        <f t="shared" si="49"/>
        <v>627329.54145342612</v>
      </c>
      <c r="Q120" s="17">
        <f t="shared" si="50"/>
        <v>5002.4138587494244</v>
      </c>
      <c r="R120" s="17">
        <f t="shared" si="51"/>
        <v>2482162.6864928184</v>
      </c>
      <c r="S120" s="17">
        <f t="shared" si="52"/>
        <v>234460862.79510707</v>
      </c>
      <c r="T120" s="17">
        <f>+F120*L120</f>
        <v>10299376.915515581</v>
      </c>
      <c r="U120" s="17">
        <f t="shared" si="53"/>
        <v>224161485.87959149</v>
      </c>
      <c r="V120" s="17">
        <f t="shared" si="54"/>
        <v>7817214.2290227627</v>
      </c>
      <c r="W120" s="16">
        <f>-F120</f>
        <v>-20379.532695807367</v>
      </c>
      <c r="X120" s="16">
        <f t="shared" si="55"/>
        <v>-10299376.915515581</v>
      </c>
      <c r="Y120" s="16"/>
      <c r="Z120" s="16"/>
      <c r="AA120" s="2">
        <v>96</v>
      </c>
      <c r="AB120" s="20">
        <v>591.24594765636368</v>
      </c>
      <c r="AC120" s="19">
        <f t="shared" si="56"/>
        <v>4.7176666275132728E-3</v>
      </c>
      <c r="AD120" s="17">
        <f t="shared" si="57"/>
        <v>270849710.81871301</v>
      </c>
      <c r="AE120" s="17">
        <f t="shared" si="58"/>
        <v>2159793.6291963928</v>
      </c>
      <c r="AF120" s="17">
        <f t="shared" si="59"/>
        <v>1277778.641801063</v>
      </c>
      <c r="AG120" s="17">
        <f t="shared" si="60"/>
        <v>10189.186326775598</v>
      </c>
      <c r="AH120" s="17">
        <f t="shared" si="61"/>
        <v>3447761.4573242315</v>
      </c>
      <c r="AI120" s="17">
        <f t="shared" si="62"/>
        <v>274297472.27603722</v>
      </c>
      <c r="AJ120" s="17">
        <f>+AB120*F120</f>
        <v>12049316.121526474</v>
      </c>
      <c r="AK120" s="17">
        <f t="shared" si="63"/>
        <v>262248156.15451074</v>
      </c>
      <c r="AL120" s="17">
        <f t="shared" si="64"/>
        <v>8601554.6642022431</v>
      </c>
      <c r="AM120" s="16">
        <f>-F120</f>
        <v>-20379.532695807367</v>
      </c>
      <c r="AN120" s="16">
        <f t="shared" si="65"/>
        <v>-12049316.121526474</v>
      </c>
      <c r="AQ120" s="2">
        <v>96</v>
      </c>
      <c r="AR120" s="20">
        <v>546.48544589885728</v>
      </c>
      <c r="AS120" s="19">
        <f t="shared" si="66"/>
        <v>4.0552599409013901E-3</v>
      </c>
      <c r="AT120" s="17">
        <f t="shared" si="67"/>
        <v>250510089.72642699</v>
      </c>
      <c r="AU120" s="17">
        <f t="shared" si="68"/>
        <v>1997602.634335811</v>
      </c>
      <c r="AV120" s="17">
        <f t="shared" si="69"/>
        <v>1015883.5316591923</v>
      </c>
      <c r="AW120" s="17">
        <f t="shared" si="70"/>
        <v>8100.7979408611018</v>
      </c>
      <c r="AX120" s="17">
        <f t="shared" si="71"/>
        <v>3021586.9639358646</v>
      </c>
      <c r="AY120" s="17">
        <f t="shared" si="72"/>
        <v>253531676.69036284</v>
      </c>
      <c r="AZ120" s="17">
        <f>+AR120*F120</f>
        <v>11137118.012478631</v>
      </c>
      <c r="BA120" s="17">
        <f t="shared" si="73"/>
        <v>242394558.67788422</v>
      </c>
      <c r="BB120" s="17">
        <f t="shared" si="74"/>
        <v>8115531.0485427659</v>
      </c>
      <c r="BC120" s="16">
        <f t="shared" si="75"/>
        <v>-7817214.2290227627</v>
      </c>
      <c r="BD120" s="16">
        <f t="shared" si="76"/>
        <v>-11137118.012478631</v>
      </c>
    </row>
    <row r="121" spans="2:56" x14ac:dyDescent="0.35">
      <c r="B121" s="2">
        <v>97</v>
      </c>
      <c r="C121" s="17">
        <f t="shared" si="40"/>
        <v>443551.71852599713</v>
      </c>
      <c r="D121" s="18">
        <f t="shared" si="45"/>
        <v>3536.9436910078966</v>
      </c>
      <c r="E121" s="17">
        <f t="shared" si="41"/>
        <v>447088.66221700504</v>
      </c>
      <c r="F121" s="18">
        <f t="shared" si="42"/>
        <v>20379.532695807367</v>
      </c>
      <c r="G121" s="17">
        <f t="shared" si="43"/>
        <v>426709.1295211977</v>
      </c>
      <c r="H121" s="17">
        <f t="shared" si="44"/>
        <v>16842.589004799469</v>
      </c>
      <c r="I121" s="16"/>
      <c r="J121" s="16"/>
      <c r="K121" s="2">
        <v>97</v>
      </c>
      <c r="L121" s="2">
        <v>506.74144958296102</v>
      </c>
      <c r="M121" s="19">
        <f t="shared" si="46"/>
        <v>2.6969616520537976E-3</v>
      </c>
      <c r="N121" s="17">
        <f t="shared" si="47"/>
        <v>224161485.87959149</v>
      </c>
      <c r="O121" s="17">
        <f t="shared" si="48"/>
        <v>1787495.1671555908</v>
      </c>
      <c r="P121" s="17">
        <f t="shared" si="49"/>
        <v>604554.9312846571</v>
      </c>
      <c r="Q121" s="17">
        <f t="shared" si="50"/>
        <v>4820.8059190501217</v>
      </c>
      <c r="R121" s="17">
        <f t="shared" si="51"/>
        <v>2396870.9043592978</v>
      </c>
      <c r="S121" s="17">
        <f t="shared" si="52"/>
        <v>226558356.78395081</v>
      </c>
      <c r="T121" s="17">
        <f>+F121*L121</f>
        <v>10327153.940096775</v>
      </c>
      <c r="U121" s="17">
        <f t="shared" si="53"/>
        <v>216231202.84385404</v>
      </c>
      <c r="V121" s="17">
        <f t="shared" si="54"/>
        <v>7930283.0357374772</v>
      </c>
      <c r="W121" s="16">
        <f>-F121</f>
        <v>-20379.532695807367</v>
      </c>
      <c r="X121" s="16">
        <f t="shared" si="55"/>
        <v>-10327153.940096775</v>
      </c>
      <c r="Y121" s="16"/>
      <c r="Z121" s="16"/>
      <c r="AA121" s="2">
        <v>97</v>
      </c>
      <c r="AB121" s="20">
        <v>594.0352489322745</v>
      </c>
      <c r="AC121" s="19">
        <f t="shared" si="56"/>
        <v>4.7176666275130508E-3</v>
      </c>
      <c r="AD121" s="17">
        <f t="shared" si="57"/>
        <v>262248156.15451074</v>
      </c>
      <c r="AE121" s="17">
        <f t="shared" si="58"/>
        <v>2091203.6243971516</v>
      </c>
      <c r="AF121" s="17">
        <f t="shared" si="59"/>
        <v>1237199.3744169667</v>
      </c>
      <c r="AG121" s="17">
        <f t="shared" si="60"/>
        <v>9865.6015501527781</v>
      </c>
      <c r="AH121" s="17">
        <f t="shared" si="61"/>
        <v>3338268.6003642716</v>
      </c>
      <c r="AI121" s="17">
        <f t="shared" si="62"/>
        <v>265586424.754875</v>
      </c>
      <c r="AJ121" s="17">
        <f>+AB121*F121</f>
        <v>12106160.778077357</v>
      </c>
      <c r="AK121" s="17">
        <f t="shared" si="63"/>
        <v>253480263.97679764</v>
      </c>
      <c r="AL121" s="17">
        <f t="shared" si="64"/>
        <v>8767892.177713085</v>
      </c>
      <c r="AM121" s="16">
        <f>-F121</f>
        <v>-20379.532695807367</v>
      </c>
      <c r="AN121" s="16">
        <f t="shared" si="65"/>
        <v>-12106160.778077357</v>
      </c>
      <c r="AQ121" s="2">
        <v>97</v>
      </c>
      <c r="AR121" s="20">
        <v>548.06344671911506</v>
      </c>
      <c r="AS121" s="19">
        <f t="shared" si="66"/>
        <v>2.8875440912470296E-3</v>
      </c>
      <c r="AT121" s="17">
        <f t="shared" si="67"/>
        <v>242394558.67788422</v>
      </c>
      <c r="AU121" s="17">
        <f t="shared" si="68"/>
        <v>1932888.2500996024</v>
      </c>
      <c r="AV121" s="17">
        <f t="shared" si="69"/>
        <v>699924.975660756</v>
      </c>
      <c r="AW121" s="17">
        <f t="shared" si="70"/>
        <v>5581.300045615918</v>
      </c>
      <c r="AX121" s="17">
        <f t="shared" si="71"/>
        <v>2638394.5258059744</v>
      </c>
      <c r="AY121" s="17">
        <f t="shared" si="72"/>
        <v>245032953.2036902</v>
      </c>
      <c r="AZ121" s="17">
        <f>+AR121*F121</f>
        <v>11169276.931789085</v>
      </c>
      <c r="BA121" s="17">
        <f t="shared" si="73"/>
        <v>233863676.27190113</v>
      </c>
      <c r="BB121" s="17">
        <f t="shared" si="74"/>
        <v>8530882.4059831109</v>
      </c>
      <c r="BC121" s="16">
        <f t="shared" si="75"/>
        <v>-7930283.0357374772</v>
      </c>
      <c r="BD121" s="16">
        <f t="shared" si="76"/>
        <v>-11169276.931789085</v>
      </c>
    </row>
    <row r="122" spans="2:56" x14ac:dyDescent="0.35">
      <c r="B122" s="2">
        <v>98</v>
      </c>
      <c r="C122" s="17">
        <f t="shared" si="40"/>
        <v>426709.1295211977</v>
      </c>
      <c r="D122" s="18">
        <f t="shared" si="45"/>
        <v>3402.6385210973153</v>
      </c>
      <c r="E122" s="17">
        <f t="shared" si="41"/>
        <v>430111.76804229501</v>
      </c>
      <c r="F122" s="18">
        <f t="shared" si="42"/>
        <v>20379.532695807367</v>
      </c>
      <c r="G122" s="17">
        <f t="shared" si="43"/>
        <v>409732.23534648767</v>
      </c>
      <c r="H122" s="17">
        <f t="shared" si="44"/>
        <v>16976.894174710051</v>
      </c>
      <c r="I122" s="16"/>
      <c r="J122" s="16"/>
      <c r="K122" s="2">
        <v>98</v>
      </c>
      <c r="L122" s="2">
        <v>508.10443591741762</v>
      </c>
      <c r="M122" s="19">
        <f t="shared" si="46"/>
        <v>2.6897076123895136E-3</v>
      </c>
      <c r="N122" s="17">
        <f t="shared" si="47"/>
        <v>216231202.84385404</v>
      </c>
      <c r="O122" s="17">
        <f t="shared" si="48"/>
        <v>1724257.9765876671</v>
      </c>
      <c r="P122" s="17">
        <f t="shared" si="49"/>
        <v>581598.71232525527</v>
      </c>
      <c r="Q122" s="17">
        <f t="shared" si="50"/>
        <v>4637.7498053511881</v>
      </c>
      <c r="R122" s="17">
        <f t="shared" si="51"/>
        <v>2310494.4387182738</v>
      </c>
      <c r="S122" s="17">
        <f t="shared" si="52"/>
        <v>218541697.2825723</v>
      </c>
      <c r="T122" s="17">
        <f>+F122*L122</f>
        <v>10354930.964663772</v>
      </c>
      <c r="U122" s="17">
        <f t="shared" si="53"/>
        <v>208186766.31790853</v>
      </c>
      <c r="V122" s="17">
        <f t="shared" si="54"/>
        <v>8044436.5259454977</v>
      </c>
      <c r="W122" s="16">
        <f>-F122</f>
        <v>-20379.532695807367</v>
      </c>
      <c r="X122" s="16">
        <f t="shared" si="55"/>
        <v>-10354930.964663772</v>
      </c>
      <c r="Y122" s="16"/>
      <c r="Z122" s="16"/>
      <c r="AA122" s="2">
        <v>98</v>
      </c>
      <c r="AB122" s="20">
        <v>596.8377092017289</v>
      </c>
      <c r="AC122" s="19">
        <f t="shared" si="56"/>
        <v>4.7176666275134949E-3</v>
      </c>
      <c r="AD122" s="17">
        <f t="shared" si="57"/>
        <v>253480263.97679764</v>
      </c>
      <c r="AE122" s="17">
        <f t="shared" si="58"/>
        <v>2021287.2209065806</v>
      </c>
      <c r="AF122" s="17">
        <f t="shared" si="59"/>
        <v>1195835.3820966494</v>
      </c>
      <c r="AG122" s="17">
        <f t="shared" si="60"/>
        <v>9535.7592666904729</v>
      </c>
      <c r="AH122" s="17">
        <f t="shared" si="61"/>
        <v>3226658.3622699203</v>
      </c>
      <c r="AI122" s="17">
        <f t="shared" si="62"/>
        <v>256706922.33906755</v>
      </c>
      <c r="AJ122" s="17">
        <f>+AB122*F122</f>
        <v>12163273.608767403</v>
      </c>
      <c r="AK122" s="17">
        <f t="shared" si="63"/>
        <v>244543648.73030016</v>
      </c>
      <c r="AL122" s="17">
        <f t="shared" si="64"/>
        <v>8936615.2464974821</v>
      </c>
      <c r="AM122" s="16">
        <f>-F122</f>
        <v>-20379.532695807367</v>
      </c>
      <c r="AN122" s="16">
        <f t="shared" si="65"/>
        <v>-12163273.608767403</v>
      </c>
      <c r="AQ122" s="2">
        <v>98</v>
      </c>
      <c r="AR122" s="20">
        <v>548.95763997815209</v>
      </c>
      <c r="AS122" s="19">
        <f t="shared" si="66"/>
        <v>1.6315506250050849E-3</v>
      </c>
      <c r="AT122" s="17">
        <f t="shared" si="67"/>
        <v>233863676.27190113</v>
      </c>
      <c r="AU122" s="17">
        <f t="shared" si="68"/>
        <v>1864861.7958118287</v>
      </c>
      <c r="AV122" s="17">
        <f t="shared" si="69"/>
        <v>381560.4271874071</v>
      </c>
      <c r="AW122" s="17">
        <f t="shared" si="70"/>
        <v>3042.616428504894</v>
      </c>
      <c r="AX122" s="17">
        <f t="shared" si="71"/>
        <v>2249464.8394277408</v>
      </c>
      <c r="AY122" s="17">
        <f t="shared" si="72"/>
        <v>236113141.11132887</v>
      </c>
      <c r="AZ122" s="17">
        <f>+AR122*F122</f>
        <v>11187500.172548</v>
      </c>
      <c r="BA122" s="17">
        <f t="shared" si="73"/>
        <v>224925640.93878087</v>
      </c>
      <c r="BB122" s="17">
        <f t="shared" si="74"/>
        <v>8938035.3331202585</v>
      </c>
      <c r="BC122" s="16">
        <f t="shared" si="75"/>
        <v>-8044436.5259454977</v>
      </c>
      <c r="BD122" s="16">
        <f t="shared" si="76"/>
        <v>-11187500.172548</v>
      </c>
    </row>
    <row r="123" spans="2:56" x14ac:dyDescent="0.35">
      <c r="B123" s="2">
        <v>99</v>
      </c>
      <c r="C123" s="17">
        <f t="shared" si="40"/>
        <v>409732.23534648767</v>
      </c>
      <c r="D123" s="18">
        <f t="shared" si="45"/>
        <v>3267.2623829015392</v>
      </c>
      <c r="E123" s="17">
        <f t="shared" si="41"/>
        <v>412999.49772938923</v>
      </c>
      <c r="F123" s="18">
        <f t="shared" si="42"/>
        <v>20379.532695807367</v>
      </c>
      <c r="G123" s="17">
        <f t="shared" si="43"/>
        <v>392619.96503358189</v>
      </c>
      <c r="H123" s="17">
        <f t="shared" si="44"/>
        <v>17112.270312905828</v>
      </c>
      <c r="I123" s="16"/>
      <c r="J123" s="16"/>
      <c r="K123" s="2">
        <v>99</v>
      </c>
      <c r="L123" s="2">
        <v>509.46742225216559</v>
      </c>
      <c r="M123" s="19">
        <f>+(L123/L122)-1</f>
        <v>2.6824924924873095E-3</v>
      </c>
      <c r="N123" s="17">
        <f>+U122</f>
        <v>208186766.31790853</v>
      </c>
      <c r="O123" s="17">
        <f t="shared" si="48"/>
        <v>1660110.5100583748</v>
      </c>
      <c r="P123" s="17">
        <f t="shared" si="49"/>
        <v>558459.43768299953</v>
      </c>
      <c r="Q123" s="17">
        <f t="shared" si="50"/>
        <v>4453.2339799308684</v>
      </c>
      <c r="R123" s="17">
        <f t="shared" si="51"/>
        <v>2223023.1817213055</v>
      </c>
      <c r="S123" s="17">
        <f t="shared" si="52"/>
        <v>210409789.49962983</v>
      </c>
      <c r="T123" s="17">
        <f t="shared" ref="T123:T144" si="77">+F123*L123</f>
        <v>10382707.989236707</v>
      </c>
      <c r="U123" s="17">
        <f t="shared" si="53"/>
        <v>200027081.51039311</v>
      </c>
      <c r="V123" s="17">
        <f t="shared" si="54"/>
        <v>8159684.8075154014</v>
      </c>
      <c r="W123" s="16">
        <f t="shared" ref="W123:W144" si="78">-F123</f>
        <v>-20379.532695807367</v>
      </c>
      <c r="X123" s="16">
        <f t="shared" si="55"/>
        <v>-10382707.989236707</v>
      </c>
      <c r="Y123" s="16"/>
      <c r="Z123" s="16"/>
      <c r="AA123" s="2">
        <v>99</v>
      </c>
      <c r="AB123" s="20">
        <v>599.65339054447134</v>
      </c>
      <c r="AC123" s="19">
        <f>+(AB123/AB122)-1</f>
        <v>4.7176666275132728E-3</v>
      </c>
      <c r="AD123" s="17">
        <f>+AK122</f>
        <v>244543648.73030016</v>
      </c>
      <c r="AE123" s="17">
        <f t="shared" si="58"/>
        <v>1950025.3959719271</v>
      </c>
      <c r="AF123" s="17">
        <f t="shared" si="59"/>
        <v>1153675.4105852656</v>
      </c>
      <c r="AG123" s="17">
        <f t="shared" si="60"/>
        <v>9199.5697333801163</v>
      </c>
      <c r="AH123" s="17">
        <f t="shared" si="61"/>
        <v>3112900.3762905728</v>
      </c>
      <c r="AI123" s="17">
        <f t="shared" si="62"/>
        <v>247656549.10659072</v>
      </c>
      <c r="AJ123" s="17">
        <f t="shared" ref="AJ123:AJ144" si="79">+AB123*F123</f>
        <v>12220655.878752798</v>
      </c>
      <c r="AK123" s="17">
        <f t="shared" si="63"/>
        <v>235435893.22783792</v>
      </c>
      <c r="AL123" s="17">
        <f t="shared" si="64"/>
        <v>9107755.502462225</v>
      </c>
      <c r="AM123" s="16">
        <f t="shared" ref="AM123:AM144" si="80">-F123</f>
        <v>-20379.532695807367</v>
      </c>
      <c r="AN123" s="16">
        <f t="shared" si="65"/>
        <v>-12220655.878752798</v>
      </c>
      <c r="AQ123" s="2">
        <v>99</v>
      </c>
      <c r="AR123" s="20">
        <v>549.65553392677452</v>
      </c>
      <c r="AS123" s="19">
        <f>+(AR123/AR122)-1</f>
        <v>1.2713074703727401E-3</v>
      </c>
      <c r="AT123" s="17">
        <f>+BA122</f>
        <v>224925640.93878087</v>
      </c>
      <c r="AU123" s="17">
        <f t="shared" si="68"/>
        <v>1793588.6469070243</v>
      </c>
      <c r="AV123" s="17">
        <f t="shared" si="69"/>
        <v>285949.64760384872</v>
      </c>
      <c r="AW123" s="17">
        <f t="shared" si="70"/>
        <v>2280.2026455886348</v>
      </c>
      <c r="AX123" s="17">
        <f t="shared" si="71"/>
        <v>2081818.4971564617</v>
      </c>
      <c r="AY123" s="17">
        <f t="shared" si="72"/>
        <v>227007459.43593735</v>
      </c>
      <c r="AZ123" s="17">
        <f t="shared" ref="AZ123:AZ144" si="81">+AR123*F123</f>
        <v>11201722.925092157</v>
      </c>
      <c r="BA123" s="17">
        <f t="shared" si="73"/>
        <v>215805736.51084518</v>
      </c>
      <c r="BB123" s="17">
        <f t="shared" si="74"/>
        <v>9119904.4279356953</v>
      </c>
      <c r="BC123" s="16">
        <f t="shared" si="75"/>
        <v>-8159684.8075154014</v>
      </c>
      <c r="BD123" s="16">
        <f t="shared" si="76"/>
        <v>-11201722.925092157</v>
      </c>
    </row>
    <row r="124" spans="2:56" x14ac:dyDescent="0.35">
      <c r="B124" s="2">
        <v>100</v>
      </c>
      <c r="C124" s="17">
        <f t="shared" si="40"/>
        <v>392619.96503358189</v>
      </c>
      <c r="D124" s="18">
        <f t="shared" si="45"/>
        <v>3130.8067363690675</v>
      </c>
      <c r="E124" s="17">
        <f t="shared" si="41"/>
        <v>395750.77176995098</v>
      </c>
      <c r="F124" s="18">
        <f t="shared" si="42"/>
        <v>20379.532695807367</v>
      </c>
      <c r="G124" s="17">
        <f t="shared" si="43"/>
        <v>375371.23907414364</v>
      </c>
      <c r="H124" s="17">
        <f t="shared" si="44"/>
        <v>17248.725959438299</v>
      </c>
      <c r="I124" s="16"/>
      <c r="J124" s="16"/>
      <c r="K124" s="2">
        <v>100</v>
      </c>
      <c r="L124" s="2">
        <v>510.83040858692561</v>
      </c>
      <c r="M124" s="19">
        <f t="shared" si="46"/>
        <v>2.6753159774863811E-3</v>
      </c>
      <c r="N124" s="17">
        <f t="shared" si="47"/>
        <v>200027081.51039311</v>
      </c>
      <c r="O124" s="17">
        <f t="shared" si="48"/>
        <v>1595044.0375476545</v>
      </c>
      <c r="P124" s="17">
        <f t="shared" si="49"/>
        <v>535135.6470947254</v>
      </c>
      <c r="Q124" s="17">
        <f t="shared" si="50"/>
        <v>4267.2467984456271</v>
      </c>
      <c r="R124" s="17">
        <f t="shared" si="51"/>
        <v>2134446.9314408256</v>
      </c>
      <c r="S124" s="17">
        <f t="shared" si="52"/>
        <v>202161528.44183394</v>
      </c>
      <c r="T124" s="17">
        <f t="shared" si="77"/>
        <v>10410485.013809888</v>
      </c>
      <c r="U124" s="17">
        <f t="shared" si="53"/>
        <v>191751043.42802405</v>
      </c>
      <c r="V124" s="17">
        <f t="shared" si="54"/>
        <v>8276038.0823690621</v>
      </c>
      <c r="W124" s="16">
        <f t="shared" si="78"/>
        <v>-20379.532695807367</v>
      </c>
      <c r="X124" s="16">
        <f t="shared" si="55"/>
        <v>-10410485.013809888</v>
      </c>
      <c r="Y124" s="16"/>
      <c r="Z124" s="16"/>
      <c r="AA124" s="2">
        <v>100</v>
      </c>
      <c r="AB124" s="20">
        <v>602.48235533311822</v>
      </c>
      <c r="AC124" s="19">
        <f t="shared" si="56"/>
        <v>4.7176666275132728E-3</v>
      </c>
      <c r="AD124" s="17">
        <f t="shared" si="57"/>
        <v>235435893.22783792</v>
      </c>
      <c r="AE124" s="17">
        <f t="shared" si="58"/>
        <v>1877398.8746031723</v>
      </c>
      <c r="AF124" s="17">
        <f t="shared" si="59"/>
        <v>1110708.0563997491</v>
      </c>
      <c r="AG124" s="17">
        <f t="shared" si="60"/>
        <v>8856.9420172463615</v>
      </c>
      <c r="AH124" s="17">
        <f t="shared" si="61"/>
        <v>2996963.8730201675</v>
      </c>
      <c r="AI124" s="17">
        <f t="shared" si="62"/>
        <v>238432857.10085809</v>
      </c>
      <c r="AJ124" s="17">
        <f t="shared" si="79"/>
        <v>12278308.859158315</v>
      </c>
      <c r="AK124" s="17">
        <f t="shared" si="63"/>
        <v>226154548.24169978</v>
      </c>
      <c r="AL124" s="17">
        <f t="shared" si="64"/>
        <v>9281344.9861381464</v>
      </c>
      <c r="AM124" s="16">
        <f t="shared" si="80"/>
        <v>-20379.532695807367</v>
      </c>
      <c r="AN124" s="16">
        <f t="shared" si="65"/>
        <v>-12278308.859158315</v>
      </c>
      <c r="AQ124" s="2">
        <v>100</v>
      </c>
      <c r="AR124" s="20">
        <v>551.15916986867887</v>
      </c>
      <c r="AS124" s="19">
        <f t="shared" si="66"/>
        <v>2.735596840374388E-3</v>
      </c>
      <c r="AT124" s="17">
        <f t="shared" si="67"/>
        <v>215805736.51084518</v>
      </c>
      <c r="AU124" s="17">
        <f t="shared" si="68"/>
        <v>1720865.2483004837</v>
      </c>
      <c r="AV124" s="17">
        <f t="shared" si="69"/>
        <v>590357.49093373574</v>
      </c>
      <c r="AW124" s="17">
        <f t="shared" si="70"/>
        <v>4707.5935359608902</v>
      </c>
      <c r="AX124" s="17">
        <f t="shared" si="71"/>
        <v>2315930.3327701804</v>
      </c>
      <c r="AY124" s="17">
        <f t="shared" si="72"/>
        <v>218121666.84361535</v>
      </c>
      <c r="AZ124" s="17">
        <f t="shared" si="81"/>
        <v>11232366.322932787</v>
      </c>
      <c r="BA124" s="17">
        <f t="shared" si="73"/>
        <v>206889300.52068257</v>
      </c>
      <c r="BB124" s="17">
        <f t="shared" si="74"/>
        <v>8916435.9901626073</v>
      </c>
      <c r="BC124" s="16">
        <f t="shared" si="75"/>
        <v>-8276038.0823690621</v>
      </c>
      <c r="BD124" s="16">
        <f t="shared" si="76"/>
        <v>-11232366.322932787</v>
      </c>
    </row>
    <row r="125" spans="2:56" x14ac:dyDescent="0.35">
      <c r="B125" s="2">
        <v>101</v>
      </c>
      <c r="C125" s="17">
        <f t="shared" si="40"/>
        <v>375371.23907414364</v>
      </c>
      <c r="D125" s="18">
        <f t="shared" si="45"/>
        <v>2993.2629733488293</v>
      </c>
      <c r="E125" s="17">
        <f t="shared" si="41"/>
        <v>378364.50204749248</v>
      </c>
      <c r="F125" s="18">
        <f t="shared" si="42"/>
        <v>20379.532695807367</v>
      </c>
      <c r="G125" s="17">
        <f t="shared" si="43"/>
        <v>357984.96935168514</v>
      </c>
      <c r="H125" s="17">
        <f t="shared" si="44"/>
        <v>17386.269722458539</v>
      </c>
      <c r="I125" s="16"/>
      <c r="J125" s="16"/>
      <c r="K125" s="2">
        <v>101</v>
      </c>
      <c r="L125" s="2">
        <v>512.19339492146901</v>
      </c>
      <c r="M125" s="19">
        <f t="shared" si="46"/>
        <v>2.668177758473167E-3</v>
      </c>
      <c r="N125" s="17">
        <f t="shared" si="47"/>
        <v>191751043.42802405</v>
      </c>
      <c r="O125" s="17">
        <f t="shared" si="48"/>
        <v>1529049.7476838881</v>
      </c>
      <c r="P125" s="17">
        <f t="shared" si="49"/>
        <v>511625.8692386761</v>
      </c>
      <c r="Q125" s="17">
        <f t="shared" si="50"/>
        <v>4079.7765283691579</v>
      </c>
      <c r="R125" s="17">
        <f t="shared" si="51"/>
        <v>2044755.3934509333</v>
      </c>
      <c r="S125" s="17">
        <f t="shared" si="52"/>
        <v>193795798.821475</v>
      </c>
      <c r="T125" s="17">
        <f t="shared" si="77"/>
        <v>10438262.038378652</v>
      </c>
      <c r="U125" s="17">
        <f t="shared" si="53"/>
        <v>183357536.78309634</v>
      </c>
      <c r="V125" s="17">
        <f t="shared" si="54"/>
        <v>8393506.6449277196</v>
      </c>
      <c r="W125" s="16">
        <f t="shared" si="78"/>
        <v>-20379.532695807367</v>
      </c>
      <c r="X125" s="16">
        <f t="shared" si="55"/>
        <v>-10438262.038378652</v>
      </c>
      <c r="Y125" s="16"/>
      <c r="Z125" s="16"/>
      <c r="AA125" s="2">
        <v>101</v>
      </c>
      <c r="AB125" s="20">
        <v>605.32466623453888</v>
      </c>
      <c r="AC125" s="19">
        <f t="shared" si="56"/>
        <v>4.7176666275132728E-3</v>
      </c>
      <c r="AD125" s="17">
        <f t="shared" si="57"/>
        <v>226154548.24169978</v>
      </c>
      <c r="AE125" s="17">
        <f t="shared" si="58"/>
        <v>1803388.1263146049</v>
      </c>
      <c r="AF125" s="17">
        <f t="shared" si="59"/>
        <v>1066921.7649002075</v>
      </c>
      <c r="AG125" s="17">
        <f t="shared" si="60"/>
        <v>8507.7839799681024</v>
      </c>
      <c r="AH125" s="17">
        <f t="shared" si="61"/>
        <v>2878817.6751947803</v>
      </c>
      <c r="AI125" s="17">
        <f t="shared" si="62"/>
        <v>229033365.91689456</v>
      </c>
      <c r="AJ125" s="17">
        <f t="shared" si="79"/>
        <v>12336233.827105466</v>
      </c>
      <c r="AK125" s="17">
        <f t="shared" si="63"/>
        <v>216697132.08978909</v>
      </c>
      <c r="AL125" s="17">
        <f t="shared" si="64"/>
        <v>9457416.151910685</v>
      </c>
      <c r="AM125" s="16">
        <f t="shared" si="80"/>
        <v>-20379.532695807367</v>
      </c>
      <c r="AN125" s="16">
        <f t="shared" si="65"/>
        <v>-12336233.827105466</v>
      </c>
      <c r="AQ125" s="2">
        <v>101</v>
      </c>
      <c r="AR125" s="20">
        <v>554.55036547610939</v>
      </c>
      <c r="AS125" s="19">
        <f t="shared" si="66"/>
        <v>6.1528425776504747E-3</v>
      </c>
      <c r="AT125" s="17">
        <f t="shared" si="67"/>
        <v>206889300.52068257</v>
      </c>
      <c r="AU125" s="17">
        <f t="shared" si="68"/>
        <v>1649764.3355895956</v>
      </c>
      <c r="AV125" s="17">
        <f t="shared" si="69"/>
        <v>1272957.2971039803</v>
      </c>
      <c r="AW125" s="17">
        <f t="shared" si="70"/>
        <v>10150.74024710491</v>
      </c>
      <c r="AX125" s="17">
        <f t="shared" si="71"/>
        <v>2932872.3729406809</v>
      </c>
      <c r="AY125" s="17">
        <f t="shared" si="72"/>
        <v>209822172.89362326</v>
      </c>
      <c r="AZ125" s="17">
        <f t="shared" si="81"/>
        <v>11301477.304692296</v>
      </c>
      <c r="BA125" s="17">
        <f t="shared" si="73"/>
        <v>198520695.58893096</v>
      </c>
      <c r="BB125" s="17">
        <f t="shared" si="74"/>
        <v>8368604.9317516154</v>
      </c>
      <c r="BC125" s="16">
        <f t="shared" si="75"/>
        <v>-8393506.6449277196</v>
      </c>
      <c r="BD125" s="16">
        <f t="shared" si="76"/>
        <v>-11301477.304692296</v>
      </c>
    </row>
    <row r="126" spans="2:56" x14ac:dyDescent="0.35">
      <c r="B126" s="2">
        <v>102</v>
      </c>
      <c r="C126" s="17">
        <f t="shared" ref="C126:C144" si="82">+G125</f>
        <v>357984.96935168514</v>
      </c>
      <c r="D126" s="18">
        <f t="shared" si="45"/>
        <v>2854.6224170471473</v>
      </c>
      <c r="E126" s="17">
        <f t="shared" ref="E126:E144" si="83">+C126+D126</f>
        <v>360839.59176873229</v>
      </c>
      <c r="F126" s="18">
        <f t="shared" ref="F126:F144" si="84">+$F$15</f>
        <v>20379.532695807367</v>
      </c>
      <c r="G126" s="17">
        <f t="shared" ref="G126:G144" si="85">+E126-F126</f>
        <v>340460.05907292495</v>
      </c>
      <c r="H126" s="17">
        <f t="shared" ref="H126:H144" si="86">+F126-D126</f>
        <v>17524.910278760221</v>
      </c>
      <c r="I126" s="16"/>
      <c r="J126" s="16"/>
      <c r="K126" s="2">
        <v>102</v>
      </c>
      <c r="L126" s="2">
        <v>513.55638125634675</v>
      </c>
      <c r="M126" s="19">
        <f t="shared" si="46"/>
        <v>2.6610775312452262E-3</v>
      </c>
      <c r="N126" s="17">
        <f t="shared" si="47"/>
        <v>183357536.78309634</v>
      </c>
      <c r="O126" s="17">
        <f t="shared" si="48"/>
        <v>1462118.7470062976</v>
      </c>
      <c r="P126" s="17">
        <f t="shared" si="49"/>
        <v>487928.62131796777</v>
      </c>
      <c r="Q126" s="17">
        <f t="shared" si="50"/>
        <v>3890.8113456708816</v>
      </c>
      <c r="R126" s="17">
        <f t="shared" si="51"/>
        <v>1953938.1796699362</v>
      </c>
      <c r="S126" s="17">
        <f t="shared" si="52"/>
        <v>185311474.96276629</v>
      </c>
      <c r="T126" s="17">
        <f t="shared" si="77"/>
        <v>10466039.062954232</v>
      </c>
      <c r="U126" s="17">
        <f t="shared" si="53"/>
        <v>174845435.89981204</v>
      </c>
      <c r="V126" s="17">
        <f t="shared" si="54"/>
        <v>8512100.8832842968</v>
      </c>
      <c r="W126" s="16">
        <f t="shared" si="78"/>
        <v>-20379.532695807367</v>
      </c>
      <c r="X126" s="16">
        <f t="shared" si="55"/>
        <v>-10466039.062954232</v>
      </c>
      <c r="Y126" s="16"/>
      <c r="Z126" s="16"/>
      <c r="AA126" s="2">
        <v>102</v>
      </c>
      <c r="AB126" s="20">
        <v>608.18038621124413</v>
      </c>
      <c r="AC126" s="19">
        <f t="shared" si="56"/>
        <v>4.7176666275132728E-3</v>
      </c>
      <c r="AD126" s="17">
        <f t="shared" si="57"/>
        <v>216697132.08978909</v>
      </c>
      <c r="AE126" s="17">
        <f t="shared" si="58"/>
        <v>1727973.3618246864</v>
      </c>
      <c r="AF126" s="17">
        <f t="shared" si="59"/>
        <v>1022304.8283378335</v>
      </c>
      <c r="AG126" s="17">
        <f t="shared" si="60"/>
        <v>8152.0022623122404</v>
      </c>
      <c r="AH126" s="17">
        <f t="shared" si="61"/>
        <v>2758430.1924248319</v>
      </c>
      <c r="AI126" s="17">
        <f t="shared" si="62"/>
        <v>219455562.28221393</v>
      </c>
      <c r="AJ126" s="17">
        <f t="shared" si="79"/>
        <v>12394432.065740801</v>
      </c>
      <c r="AK126" s="17">
        <f t="shared" si="63"/>
        <v>207061130.21647313</v>
      </c>
      <c r="AL126" s="17">
        <f t="shared" si="64"/>
        <v>9636001.8733159695</v>
      </c>
      <c r="AM126" s="16">
        <f t="shared" si="80"/>
        <v>-20379.532695807367</v>
      </c>
      <c r="AN126" s="16">
        <f t="shared" si="65"/>
        <v>-12394432.065740801</v>
      </c>
      <c r="AQ126" s="2">
        <v>102</v>
      </c>
      <c r="AR126" s="20">
        <v>557.41622652185606</v>
      </c>
      <c r="AS126" s="19">
        <f t="shared" si="66"/>
        <v>5.1679003822966418E-3</v>
      </c>
      <c r="AT126" s="17">
        <f t="shared" si="67"/>
        <v>198520695.58893096</v>
      </c>
      <c r="AU126" s="17">
        <f t="shared" si="68"/>
        <v>1583031.9046697917</v>
      </c>
      <c r="AV126" s="17">
        <f t="shared" si="69"/>
        <v>1025935.1786278316</v>
      </c>
      <c r="AW126" s="17">
        <f t="shared" si="70"/>
        <v>8180.9511853307977</v>
      </c>
      <c r="AX126" s="17">
        <f t="shared" si="71"/>
        <v>2617148.0344829541</v>
      </c>
      <c r="AY126" s="17">
        <f t="shared" si="72"/>
        <v>201137843.62341392</v>
      </c>
      <c r="AZ126" s="17">
        <f t="shared" si="81"/>
        <v>11359882.213575732</v>
      </c>
      <c r="BA126" s="17">
        <f t="shared" si="73"/>
        <v>189777961.4098382</v>
      </c>
      <c r="BB126" s="17">
        <f t="shared" si="74"/>
        <v>8742734.1790927779</v>
      </c>
      <c r="BC126" s="16">
        <f t="shared" si="75"/>
        <v>-8512100.8832842968</v>
      </c>
      <c r="BD126" s="16">
        <f t="shared" si="76"/>
        <v>-11359882.213575732</v>
      </c>
    </row>
    <row r="127" spans="2:56" x14ac:dyDescent="0.35">
      <c r="B127" s="2">
        <v>103</v>
      </c>
      <c r="C127" s="17">
        <f t="shared" si="82"/>
        <v>340460.05907292495</v>
      </c>
      <c r="D127" s="18">
        <f t="shared" si="45"/>
        <v>2714.8763214803748</v>
      </c>
      <c r="E127" s="17">
        <f t="shared" si="83"/>
        <v>343174.93539440533</v>
      </c>
      <c r="F127" s="18">
        <f t="shared" si="84"/>
        <v>20379.532695807367</v>
      </c>
      <c r="G127" s="17">
        <f t="shared" si="85"/>
        <v>322795.40269859799</v>
      </c>
      <c r="H127" s="17">
        <f t="shared" si="86"/>
        <v>17664.656374326994</v>
      </c>
      <c r="I127" s="16"/>
      <c r="J127" s="16"/>
      <c r="K127" s="2">
        <v>103</v>
      </c>
      <c r="L127" s="2">
        <v>514.91936759084274</v>
      </c>
      <c r="M127" s="19">
        <f t="shared" si="46"/>
        <v>2.654014990840281E-3</v>
      </c>
      <c r="N127" s="17">
        <f t="shared" si="47"/>
        <v>174845435.89981204</v>
      </c>
      <c r="O127" s="17">
        <f t="shared" si="48"/>
        <v>1394242.0592179929</v>
      </c>
      <c r="P127" s="17">
        <f t="shared" si="49"/>
        <v>464042.40795810462</v>
      </c>
      <c r="Q127" s="17">
        <f t="shared" si="50"/>
        <v>3700.3393260245762</v>
      </c>
      <c r="R127" s="17">
        <f t="shared" si="51"/>
        <v>1861984.806502122</v>
      </c>
      <c r="S127" s="17">
        <f t="shared" si="52"/>
        <v>176707420.70631418</v>
      </c>
      <c r="T127" s="17">
        <f t="shared" si="77"/>
        <v>10493816.087522032</v>
      </c>
      <c r="U127" s="17">
        <f t="shared" si="53"/>
        <v>166213604.61879215</v>
      </c>
      <c r="V127" s="17">
        <f t="shared" si="54"/>
        <v>8631831.2810199093</v>
      </c>
      <c r="W127" s="16">
        <f t="shared" si="78"/>
        <v>-20379.532695807367</v>
      </c>
      <c r="X127" s="16">
        <f t="shared" si="55"/>
        <v>-10493816.087522032</v>
      </c>
      <c r="Y127" s="16"/>
      <c r="Z127" s="16"/>
      <c r="AA127" s="2">
        <v>103</v>
      </c>
      <c r="AB127" s="20">
        <v>611.04957852278108</v>
      </c>
      <c r="AC127" s="19">
        <f t="shared" si="56"/>
        <v>4.7176666275132728E-3</v>
      </c>
      <c r="AD127" s="17">
        <f t="shared" si="57"/>
        <v>207061130.21647313</v>
      </c>
      <c r="AE127" s="17">
        <f t="shared" si="58"/>
        <v>1651134.5297136852</v>
      </c>
      <c r="AF127" s="17">
        <f t="shared" si="59"/>
        <v>976845.38387743547</v>
      </c>
      <c r="AG127" s="17">
        <f t="shared" si="60"/>
        <v>7789.502268365075</v>
      </c>
      <c r="AH127" s="17">
        <f t="shared" si="61"/>
        <v>2635769.415859486</v>
      </c>
      <c r="AI127" s="17">
        <f t="shared" si="62"/>
        <v>209696899.63233262</v>
      </c>
      <c r="AJ127" s="17">
        <f t="shared" si="79"/>
        <v>12452904.864264328</v>
      </c>
      <c r="AK127" s="17">
        <f t="shared" si="63"/>
        <v>197243994.76806828</v>
      </c>
      <c r="AL127" s="17">
        <f t="shared" si="64"/>
        <v>9817135.4484048411</v>
      </c>
      <c r="AM127" s="16">
        <f t="shared" si="80"/>
        <v>-20379.532695807367</v>
      </c>
      <c r="AN127" s="16">
        <f t="shared" si="65"/>
        <v>-12452904.864264328</v>
      </c>
      <c r="AQ127" s="2">
        <v>103</v>
      </c>
      <c r="AR127" s="20">
        <v>559.89201396317776</v>
      </c>
      <c r="AS127" s="19">
        <f t="shared" si="66"/>
        <v>4.4415417483807396E-3</v>
      </c>
      <c r="AT127" s="17">
        <f t="shared" si="67"/>
        <v>189777961.4098382</v>
      </c>
      <c r="AU127" s="17">
        <f t="shared" si="68"/>
        <v>1513316.1145931291</v>
      </c>
      <c r="AV127" s="17">
        <f t="shared" si="69"/>
        <v>842906.73852438526</v>
      </c>
      <c r="AW127" s="17">
        <f t="shared" si="70"/>
        <v>6721.4567014627146</v>
      </c>
      <c r="AX127" s="17">
        <f t="shared" si="71"/>
        <v>2362944.309818977</v>
      </c>
      <c r="AY127" s="17">
        <f t="shared" si="72"/>
        <v>192140905.71965718</v>
      </c>
      <c r="AZ127" s="17">
        <f t="shared" si="81"/>
        <v>11410337.604684016</v>
      </c>
      <c r="BA127" s="17">
        <f t="shared" si="73"/>
        <v>180730568.11497316</v>
      </c>
      <c r="BB127" s="17">
        <f t="shared" si="74"/>
        <v>9047393.2948650382</v>
      </c>
      <c r="BC127" s="16">
        <f t="shared" si="75"/>
        <v>-8631831.2810199093</v>
      </c>
      <c r="BD127" s="16">
        <f t="shared" si="76"/>
        <v>-11410337.604684016</v>
      </c>
    </row>
    <row r="128" spans="2:56" x14ac:dyDescent="0.35">
      <c r="B128" s="2">
        <v>104</v>
      </c>
      <c r="C128" s="17">
        <f t="shared" si="82"/>
        <v>322795.40269859799</v>
      </c>
      <c r="D128" s="18">
        <f t="shared" si="45"/>
        <v>2574.0158709231614</v>
      </c>
      <c r="E128" s="17">
        <f t="shared" si="83"/>
        <v>325369.41856952116</v>
      </c>
      <c r="F128" s="18">
        <f t="shared" si="84"/>
        <v>20379.532695807367</v>
      </c>
      <c r="G128" s="17">
        <f t="shared" si="85"/>
        <v>304989.88587371382</v>
      </c>
      <c r="H128" s="17">
        <f t="shared" si="86"/>
        <v>17805.516824884206</v>
      </c>
      <c r="I128" s="16"/>
      <c r="J128" s="16"/>
      <c r="K128" s="2">
        <v>104</v>
      </c>
      <c r="L128" s="2">
        <v>516.28235392571537</v>
      </c>
      <c r="M128" s="19">
        <f t="shared" si="46"/>
        <v>2.6469898408554293E-3</v>
      </c>
      <c r="N128" s="17">
        <f t="shared" si="47"/>
        <v>166213604.61879215</v>
      </c>
      <c r="O128" s="17">
        <f t="shared" si="48"/>
        <v>1325410.624424536</v>
      </c>
      <c r="P128" s="17">
        <f t="shared" si="49"/>
        <v>439965.72283790389</v>
      </c>
      <c r="Q128" s="17">
        <f t="shared" si="50"/>
        <v>3508.3484578135976</v>
      </c>
      <c r="R128" s="17">
        <f t="shared" si="51"/>
        <v>1768884.6957202535</v>
      </c>
      <c r="S128" s="17">
        <f t="shared" si="52"/>
        <v>167982489.3145124</v>
      </c>
      <c r="T128" s="17">
        <f t="shared" si="77"/>
        <v>10521593.112097507</v>
      </c>
      <c r="U128" s="17">
        <f t="shared" si="53"/>
        <v>157460896.2024149</v>
      </c>
      <c r="V128" s="17">
        <f t="shared" si="54"/>
        <v>8752708.4163772538</v>
      </c>
      <c r="W128" s="16">
        <f t="shared" si="78"/>
        <v>-20379.532695807367</v>
      </c>
      <c r="X128" s="16">
        <f t="shared" si="55"/>
        <v>-10521593.112097507</v>
      </c>
      <c r="Y128" s="16"/>
      <c r="Z128" s="16"/>
      <c r="AA128" s="2">
        <v>104</v>
      </c>
      <c r="AB128" s="20">
        <v>613.93230672713401</v>
      </c>
      <c r="AC128" s="19">
        <f t="shared" si="56"/>
        <v>4.7176666275132728E-3</v>
      </c>
      <c r="AD128" s="17">
        <f t="shared" si="57"/>
        <v>197243994.76806828</v>
      </c>
      <c r="AE128" s="17">
        <f t="shared" si="58"/>
        <v>1572851.3130385359</v>
      </c>
      <c r="AF128" s="17">
        <f t="shared" si="59"/>
        <v>930531.41159471835</v>
      </c>
      <c r="AG128" s="17">
        <f t="shared" si="60"/>
        <v>7420.1881495623329</v>
      </c>
      <c r="AH128" s="17">
        <f t="shared" si="61"/>
        <v>2510802.9127828167</v>
      </c>
      <c r="AI128" s="17">
        <f t="shared" si="62"/>
        <v>199754797.6808511</v>
      </c>
      <c r="AJ128" s="17">
        <f t="shared" si="79"/>
        <v>12511653.517958065</v>
      </c>
      <c r="AK128" s="17">
        <f t="shared" si="63"/>
        <v>187243144.16289303</v>
      </c>
      <c r="AL128" s="17">
        <f t="shared" si="64"/>
        <v>10000850.605175249</v>
      </c>
      <c r="AM128" s="16">
        <f t="shared" si="80"/>
        <v>-20379.532695807367</v>
      </c>
      <c r="AN128" s="16">
        <f t="shared" si="65"/>
        <v>-12511653.517958065</v>
      </c>
      <c r="AQ128" s="2">
        <v>104</v>
      </c>
      <c r="AR128" s="20">
        <v>562.37902175933721</v>
      </c>
      <c r="AS128" s="19">
        <f t="shared" si="66"/>
        <v>4.4419418997516669E-3</v>
      </c>
      <c r="AT128" s="17">
        <f t="shared" si="67"/>
        <v>180730568.11497316</v>
      </c>
      <c r="AU128" s="17">
        <f t="shared" si="68"/>
        <v>1441170.9299443529</v>
      </c>
      <c r="AV128" s="17">
        <f t="shared" si="69"/>
        <v>802794.68307582184</v>
      </c>
      <c r="AW128" s="17">
        <f t="shared" si="70"/>
        <v>6401.5975384238955</v>
      </c>
      <c r="AX128" s="17">
        <f t="shared" si="71"/>
        <v>2250367.2105585989</v>
      </c>
      <c r="AY128" s="17">
        <f t="shared" si="72"/>
        <v>182980935.32553175</v>
      </c>
      <c r="AZ128" s="17">
        <f t="shared" si="81"/>
        <v>11461021.661380576</v>
      </c>
      <c r="BA128" s="17">
        <f t="shared" si="73"/>
        <v>171519913.66415116</v>
      </c>
      <c r="BB128" s="17">
        <f t="shared" si="74"/>
        <v>9210654.4508219771</v>
      </c>
      <c r="BC128" s="16">
        <f t="shared" si="75"/>
        <v>-8752708.4163772538</v>
      </c>
      <c r="BD128" s="16">
        <f t="shared" si="76"/>
        <v>-11461021.661380576</v>
      </c>
    </row>
    <row r="129" spans="2:56" x14ac:dyDescent="0.35">
      <c r="B129" s="2">
        <v>105</v>
      </c>
      <c r="C129" s="17">
        <f t="shared" si="82"/>
        <v>304989.88587371382</v>
      </c>
      <c r="D129" s="18">
        <f t="shared" si="45"/>
        <v>2432.0321793523262</v>
      </c>
      <c r="E129" s="17">
        <f t="shared" si="83"/>
        <v>307421.91805306613</v>
      </c>
      <c r="F129" s="18">
        <f t="shared" si="84"/>
        <v>20379.532695807367</v>
      </c>
      <c r="G129" s="17">
        <f t="shared" si="85"/>
        <v>287042.38535725878</v>
      </c>
      <c r="H129" s="17">
        <f t="shared" si="86"/>
        <v>17947.500516455042</v>
      </c>
      <c r="I129" s="16"/>
      <c r="J129" s="16"/>
      <c r="K129" s="2">
        <v>105</v>
      </c>
      <c r="L129" s="2">
        <v>517.6453402602516</v>
      </c>
      <c r="M129" s="19">
        <f t="shared" si="46"/>
        <v>2.6400017823045019E-3</v>
      </c>
      <c r="N129" s="17">
        <f t="shared" si="47"/>
        <v>157460896.2024149</v>
      </c>
      <c r="O129" s="17">
        <f t="shared" si="48"/>
        <v>1255615.298379096</v>
      </c>
      <c r="P129" s="17">
        <f t="shared" si="49"/>
        <v>415697.04661763948</v>
      </c>
      <c r="Q129" s="17">
        <f t="shared" si="50"/>
        <v>3314.8266256096122</v>
      </c>
      <c r="R129" s="17">
        <f t="shared" si="51"/>
        <v>1674627.171622345</v>
      </c>
      <c r="S129" s="17">
        <f t="shared" si="52"/>
        <v>159135523.37403724</v>
      </c>
      <c r="T129" s="17">
        <f t="shared" si="77"/>
        <v>10549370.136666127</v>
      </c>
      <c r="U129" s="17">
        <f t="shared" si="53"/>
        <v>148586153.23737112</v>
      </c>
      <c r="V129" s="17">
        <f t="shared" si="54"/>
        <v>8874742.9650437813</v>
      </c>
      <c r="W129" s="16">
        <f t="shared" si="78"/>
        <v>-20379.532695807367</v>
      </c>
      <c r="X129" s="16">
        <f t="shared" si="55"/>
        <v>-10549370.136666127</v>
      </c>
      <c r="Y129" s="16"/>
      <c r="Z129" s="16"/>
      <c r="AA129" s="2">
        <v>105</v>
      </c>
      <c r="AB129" s="20">
        <v>616.82863468213293</v>
      </c>
      <c r="AC129" s="19">
        <f t="shared" si="56"/>
        <v>4.7176666275134949E-3</v>
      </c>
      <c r="AD129" s="17">
        <f t="shared" si="57"/>
        <v>187243144.16289303</v>
      </c>
      <c r="AE129" s="17">
        <f t="shared" si="58"/>
        <v>1493103.1259043813</v>
      </c>
      <c r="AF129" s="17">
        <f t="shared" si="59"/>
        <v>883350.73244797869</v>
      </c>
      <c r="AG129" s="17">
        <f t="shared" si="60"/>
        <v>7043.9627885151795</v>
      </c>
      <c r="AH129" s="17">
        <f t="shared" si="61"/>
        <v>2383497.8211408751</v>
      </c>
      <c r="AI129" s="17">
        <f t="shared" si="62"/>
        <v>189626641.98403391</v>
      </c>
      <c r="AJ129" s="17">
        <f t="shared" si="79"/>
        <v>12570679.328214746</v>
      </c>
      <c r="AK129" s="17">
        <f t="shared" si="63"/>
        <v>177055962.65581918</v>
      </c>
      <c r="AL129" s="17">
        <f t="shared" si="64"/>
        <v>10187181.507073872</v>
      </c>
      <c r="AM129" s="16">
        <f t="shared" si="80"/>
        <v>-20379.532695807367</v>
      </c>
      <c r="AN129" s="16">
        <f t="shared" si="65"/>
        <v>-12570679.328214746</v>
      </c>
      <c r="AQ129" s="2">
        <v>105</v>
      </c>
      <c r="AR129" s="20">
        <v>563.9624806588937</v>
      </c>
      <c r="AS129" s="19">
        <f t="shared" si="66"/>
        <v>2.8156436109634253E-3</v>
      </c>
      <c r="AT129" s="17">
        <f t="shared" si="67"/>
        <v>171519913.66415116</v>
      </c>
      <c r="AU129" s="17">
        <f t="shared" si="68"/>
        <v>1367723.877911391</v>
      </c>
      <c r="AV129" s="17">
        <f t="shared" si="69"/>
        <v>482938.94906146551</v>
      </c>
      <c r="AW129" s="17">
        <f t="shared" si="70"/>
        <v>3851.0229984033281</v>
      </c>
      <c r="AX129" s="17">
        <f t="shared" si="71"/>
        <v>1854513.8499712597</v>
      </c>
      <c r="AY129" s="17">
        <f t="shared" si="72"/>
        <v>173374427.51412243</v>
      </c>
      <c r="AZ129" s="17">
        <f t="shared" si="81"/>
        <v>11493291.813796554</v>
      </c>
      <c r="BA129" s="17">
        <f t="shared" si="73"/>
        <v>161881135.70032588</v>
      </c>
      <c r="BB129" s="17">
        <f t="shared" si="74"/>
        <v>9638777.9638252947</v>
      </c>
      <c r="BC129" s="16">
        <f t="shared" si="75"/>
        <v>-8874742.9650437813</v>
      </c>
      <c r="BD129" s="16">
        <f t="shared" si="76"/>
        <v>-11493291.813796554</v>
      </c>
    </row>
    <row r="130" spans="2:56" x14ac:dyDescent="0.35">
      <c r="B130" s="2">
        <v>106</v>
      </c>
      <c r="C130" s="17">
        <f t="shared" si="82"/>
        <v>287042.38535725878</v>
      </c>
      <c r="D130" s="18">
        <f t="shared" si="45"/>
        <v>2288.916289886291</v>
      </c>
      <c r="E130" s="17">
        <f t="shared" si="83"/>
        <v>289331.30164714507</v>
      </c>
      <c r="F130" s="18">
        <f t="shared" si="84"/>
        <v>20379.532695807367</v>
      </c>
      <c r="G130" s="17">
        <f t="shared" si="85"/>
        <v>268951.76895133773</v>
      </c>
      <c r="H130" s="17">
        <f t="shared" si="86"/>
        <v>18090.616405921075</v>
      </c>
      <c r="I130" s="16"/>
      <c r="J130" s="16"/>
      <c r="K130" s="2">
        <v>106</v>
      </c>
      <c r="L130" s="2">
        <v>519.0083265950642</v>
      </c>
      <c r="M130" s="19">
        <f t="shared" si="46"/>
        <v>2.6330505247615932E-3</v>
      </c>
      <c r="N130" s="17">
        <f t="shared" si="47"/>
        <v>148586153.23737112</v>
      </c>
      <c r="O130" s="17">
        <f t="shared" si="48"/>
        <v>1184846.851705411</v>
      </c>
      <c r="P130" s="17">
        <f t="shared" si="49"/>
        <v>391234.84875396651</v>
      </c>
      <c r="Q130" s="17">
        <f t="shared" si="50"/>
        <v>3119.7616246450539</v>
      </c>
      <c r="R130" s="17">
        <f t="shared" si="51"/>
        <v>1579201.4620840224</v>
      </c>
      <c r="S130" s="17">
        <f t="shared" si="52"/>
        <v>150165354.69945514</v>
      </c>
      <c r="T130" s="17">
        <f t="shared" si="77"/>
        <v>10577147.16124038</v>
      </c>
      <c r="U130" s="17">
        <f t="shared" si="53"/>
        <v>139588207.53821477</v>
      </c>
      <c r="V130" s="17">
        <f t="shared" si="54"/>
        <v>8997945.6991563588</v>
      </c>
      <c r="W130" s="16">
        <f t="shared" si="78"/>
        <v>-20379.532695807367</v>
      </c>
      <c r="X130" s="16">
        <f t="shared" si="55"/>
        <v>-10577147.16124038</v>
      </c>
      <c r="Y130" s="16"/>
      <c r="Z130" s="16"/>
      <c r="AA130" s="2">
        <v>106</v>
      </c>
      <c r="AB130" s="20">
        <v>619.73862654686741</v>
      </c>
      <c r="AC130" s="19">
        <f t="shared" si="56"/>
        <v>4.7176666275132728E-3</v>
      </c>
      <c r="AD130" s="17">
        <f t="shared" si="57"/>
        <v>177055962.65581918</v>
      </c>
      <c r="AE130" s="17">
        <f t="shared" si="58"/>
        <v>1411869.1099922429</v>
      </c>
      <c r="AF130" s="17">
        <f t="shared" si="59"/>
        <v>835291.00622359442</v>
      </c>
      <c r="AG130" s="17">
        <f t="shared" si="60"/>
        <v>6660.7277826272702</v>
      </c>
      <c r="AH130" s="17">
        <f t="shared" si="61"/>
        <v>2253820.8439984648</v>
      </c>
      <c r="AI130" s="17">
        <f t="shared" si="62"/>
        <v>179309783.49981764</v>
      </c>
      <c r="AJ130" s="17">
        <f t="shared" si="79"/>
        <v>12629983.602566635</v>
      </c>
      <c r="AK130" s="17">
        <f t="shared" si="63"/>
        <v>166679799.89725101</v>
      </c>
      <c r="AL130" s="17">
        <f t="shared" si="64"/>
        <v>10376162.758568171</v>
      </c>
      <c r="AM130" s="16">
        <f t="shared" si="80"/>
        <v>-20379.532695807367</v>
      </c>
      <c r="AN130" s="16">
        <f t="shared" si="65"/>
        <v>-12629983.602566635</v>
      </c>
      <c r="AQ130" s="2">
        <v>106</v>
      </c>
      <c r="AR130" s="20">
        <v>565.40111094095755</v>
      </c>
      <c r="AS130" s="19">
        <f t="shared" si="66"/>
        <v>2.5509326088202222E-3</v>
      </c>
      <c r="AT130" s="17">
        <f t="shared" si="67"/>
        <v>161881135.70032588</v>
      </c>
      <c r="AU130" s="17">
        <f t="shared" si="68"/>
        <v>1290862.908864825</v>
      </c>
      <c r="AV130" s="17">
        <f t="shared" si="69"/>
        <v>412947.86781081272</v>
      </c>
      <c r="AW130" s="17">
        <f t="shared" si="70"/>
        <v>3292.9042877398088</v>
      </c>
      <c r="AX130" s="17">
        <f t="shared" si="71"/>
        <v>1707103.6809633777</v>
      </c>
      <c r="AY130" s="17">
        <f t="shared" si="72"/>
        <v>163588239.38128924</v>
      </c>
      <c r="AZ130" s="17">
        <f t="shared" si="81"/>
        <v>11522610.426667053</v>
      </c>
      <c r="BA130" s="17">
        <f t="shared" si="73"/>
        <v>152065628.95462218</v>
      </c>
      <c r="BB130" s="17">
        <f t="shared" si="74"/>
        <v>9815506.7457036749</v>
      </c>
      <c r="BC130" s="16">
        <f t="shared" si="75"/>
        <v>-8997945.6991563588</v>
      </c>
      <c r="BD130" s="16">
        <f t="shared" si="76"/>
        <v>-11522610.426667053</v>
      </c>
    </row>
    <row r="131" spans="2:56" x14ac:dyDescent="0.35">
      <c r="B131" s="2">
        <v>107</v>
      </c>
      <c r="C131" s="17">
        <f t="shared" si="82"/>
        <v>268951.76895133773</v>
      </c>
      <c r="D131" s="18">
        <f t="shared" si="45"/>
        <v>2144.6591742200462</v>
      </c>
      <c r="E131" s="17">
        <f t="shared" si="83"/>
        <v>271096.42812555778</v>
      </c>
      <c r="F131" s="18">
        <f t="shared" si="84"/>
        <v>20379.532695807367</v>
      </c>
      <c r="G131" s="17">
        <f t="shared" si="85"/>
        <v>250716.89542975041</v>
      </c>
      <c r="H131" s="17">
        <f t="shared" si="86"/>
        <v>18234.87352158732</v>
      </c>
      <c r="I131" s="16"/>
      <c r="J131" s="16"/>
      <c r="K131" s="2">
        <v>107</v>
      </c>
      <c r="L131" s="2">
        <v>520.37131292966808</v>
      </c>
      <c r="M131" s="19">
        <f t="shared" si="46"/>
        <v>2.626135776174765E-3</v>
      </c>
      <c r="N131" s="17">
        <f t="shared" si="47"/>
        <v>139588207.53821477</v>
      </c>
      <c r="O131" s="17">
        <f t="shared" si="48"/>
        <v>1113095.9691286876</v>
      </c>
      <c r="P131" s="17">
        <f t="shared" si="49"/>
        <v>366577.58574821381</v>
      </c>
      <c r="Q131" s="17">
        <f t="shared" si="50"/>
        <v>2923.1411468447682</v>
      </c>
      <c r="R131" s="17">
        <f t="shared" si="51"/>
        <v>1482596.6960237462</v>
      </c>
      <c r="S131" s="17">
        <f t="shared" si="52"/>
        <v>141070804.23423851</v>
      </c>
      <c r="T131" s="17">
        <f t="shared" si="77"/>
        <v>10604924.185810378</v>
      </c>
      <c r="U131" s="17">
        <f t="shared" si="53"/>
        <v>130465880.04842813</v>
      </c>
      <c r="V131" s="17">
        <f t="shared" si="54"/>
        <v>9122327.4897866324</v>
      </c>
      <c r="W131" s="16">
        <f t="shared" si="78"/>
        <v>-20379.532695807367</v>
      </c>
      <c r="X131" s="16">
        <f t="shared" si="55"/>
        <v>-10604924.185810378</v>
      </c>
      <c r="Y131" s="16"/>
      <c r="Z131" s="16"/>
      <c r="AA131" s="2">
        <v>107</v>
      </c>
      <c r="AB131" s="20">
        <v>622.66234678310855</v>
      </c>
      <c r="AC131" s="19">
        <f t="shared" si="56"/>
        <v>4.7176666275134949E-3</v>
      </c>
      <c r="AD131" s="17">
        <f t="shared" si="57"/>
        <v>166679799.89725101</v>
      </c>
      <c r="AE131" s="17">
        <f t="shared" si="58"/>
        <v>1329128.1310422588</v>
      </c>
      <c r="AF131" s="17">
        <f t="shared" si="59"/>
        <v>786339.72945588839</v>
      </c>
      <c r="AG131" s="17">
        <f t="shared" si="60"/>
        <v>6270.3834275074478</v>
      </c>
      <c r="AH131" s="17">
        <f t="shared" si="61"/>
        <v>2121738.2439256548</v>
      </c>
      <c r="AI131" s="17">
        <f t="shared" si="62"/>
        <v>168801538.14117667</v>
      </c>
      <c r="AJ131" s="17">
        <f t="shared" si="79"/>
        <v>12689567.654714506</v>
      </c>
      <c r="AK131" s="17">
        <f t="shared" si="63"/>
        <v>156111970.48646218</v>
      </c>
      <c r="AL131" s="17">
        <f t="shared" si="64"/>
        <v>10567829.410788851</v>
      </c>
      <c r="AM131" s="16">
        <f t="shared" si="80"/>
        <v>-20379.532695807367</v>
      </c>
      <c r="AN131" s="16">
        <f t="shared" si="65"/>
        <v>-12689567.654714506</v>
      </c>
      <c r="AQ131" s="2">
        <v>107</v>
      </c>
      <c r="AR131" s="20">
        <v>566.81866132326127</v>
      </c>
      <c r="AS131" s="19">
        <f t="shared" si="66"/>
        <v>2.5071588203011697E-3</v>
      </c>
      <c r="AT131" s="17">
        <f t="shared" si="67"/>
        <v>152065628.95462218</v>
      </c>
      <c r="AU131" s="17">
        <f t="shared" si="68"/>
        <v>1212592.6796937315</v>
      </c>
      <c r="AV131" s="17">
        <f t="shared" si="69"/>
        <v>381252.6828982259</v>
      </c>
      <c r="AW131" s="17">
        <f t="shared" si="70"/>
        <v>3040.1624323267697</v>
      </c>
      <c r="AX131" s="17">
        <f t="shared" si="71"/>
        <v>1596885.5250242841</v>
      </c>
      <c r="AY131" s="17">
        <f t="shared" si="72"/>
        <v>153662514.47964647</v>
      </c>
      <c r="AZ131" s="17">
        <f t="shared" si="81"/>
        <v>11551499.441031165</v>
      </c>
      <c r="BA131" s="17">
        <f t="shared" si="73"/>
        <v>142111015.03861532</v>
      </c>
      <c r="BB131" s="17">
        <f t="shared" si="74"/>
        <v>9954613.9160068817</v>
      </c>
      <c r="BC131" s="16">
        <f t="shared" si="75"/>
        <v>-9122327.4897866324</v>
      </c>
      <c r="BD131" s="16">
        <f t="shared" si="76"/>
        <v>-11551499.441031165</v>
      </c>
    </row>
    <row r="132" spans="2:56" x14ac:dyDescent="0.35">
      <c r="B132" s="2">
        <v>108</v>
      </c>
      <c r="C132" s="17">
        <f t="shared" si="82"/>
        <v>250716.89542975041</v>
      </c>
      <c r="D132" s="18">
        <f t="shared" si="45"/>
        <v>1999.2517320556101</v>
      </c>
      <c r="E132" s="17">
        <f t="shared" si="83"/>
        <v>252716.14716180603</v>
      </c>
      <c r="F132" s="18">
        <f t="shared" si="84"/>
        <v>20379.532695807367</v>
      </c>
      <c r="G132" s="17">
        <f t="shared" si="85"/>
        <v>232336.61446599866</v>
      </c>
      <c r="H132" s="17">
        <f t="shared" si="86"/>
        <v>18380.280963751757</v>
      </c>
      <c r="I132" s="16"/>
      <c r="J132" s="16"/>
      <c r="K132" s="2">
        <v>108</v>
      </c>
      <c r="L132" s="2">
        <v>521.73429926441452</v>
      </c>
      <c r="M132" s="19">
        <f t="shared" si="46"/>
        <v>2.6192572512748757E-3</v>
      </c>
      <c r="N132" s="17">
        <f t="shared" si="47"/>
        <v>130465880.04842813</v>
      </c>
      <c r="O132" s="17">
        <f t="shared" si="48"/>
        <v>1040353.2486866798</v>
      </c>
      <c r="P132" s="17">
        <f t="shared" si="49"/>
        <v>341723.70236080355</v>
      </c>
      <c r="Q132" s="17">
        <f t="shared" si="50"/>
        <v>2724.9527905099599</v>
      </c>
      <c r="R132" s="17">
        <f t="shared" si="51"/>
        <v>1384801.9038379933</v>
      </c>
      <c r="S132" s="17">
        <f t="shared" si="52"/>
        <v>131850681.95226613</v>
      </c>
      <c r="T132" s="17">
        <f t="shared" si="77"/>
        <v>10632701.210383281</v>
      </c>
      <c r="U132" s="17">
        <f t="shared" si="53"/>
        <v>121217980.74188285</v>
      </c>
      <c r="V132" s="17">
        <f t="shared" si="54"/>
        <v>9247899.3065452874</v>
      </c>
      <c r="W132" s="16">
        <f t="shared" si="78"/>
        <v>-20379.532695807367</v>
      </c>
      <c r="X132" s="16">
        <f t="shared" si="55"/>
        <v>-10632701.210383281</v>
      </c>
      <c r="Y132" s="16"/>
      <c r="Z132" s="16"/>
      <c r="AA132" s="2">
        <v>108</v>
      </c>
      <c r="AB132" s="20">
        <v>625.59986015673621</v>
      </c>
      <c r="AC132" s="19">
        <f t="shared" si="56"/>
        <v>4.7176666275130508E-3</v>
      </c>
      <c r="AD132" s="17">
        <f t="shared" si="57"/>
        <v>156111970.48646218</v>
      </c>
      <c r="AE132" s="17">
        <f t="shared" si="58"/>
        <v>1244858.7752919293</v>
      </c>
      <c r="AF132" s="17">
        <f t="shared" si="59"/>
        <v>736484.23331928498</v>
      </c>
      <c r="AG132" s="17">
        <f t="shared" si="60"/>
        <v>5872.8287001615026</v>
      </c>
      <c r="AH132" s="17">
        <f t="shared" si="61"/>
        <v>1987215.8373113759</v>
      </c>
      <c r="AI132" s="17">
        <f t="shared" si="62"/>
        <v>158099186.32377356</v>
      </c>
      <c r="AJ132" s="17">
        <f t="shared" si="79"/>
        <v>12749432.804556722</v>
      </c>
      <c r="AK132" s="17">
        <f t="shared" si="63"/>
        <v>145349753.51921684</v>
      </c>
      <c r="AL132" s="17">
        <f t="shared" si="64"/>
        <v>10762216.967245346</v>
      </c>
      <c r="AM132" s="16">
        <f t="shared" si="80"/>
        <v>-20379.532695807367</v>
      </c>
      <c r="AN132" s="16">
        <f t="shared" si="65"/>
        <v>-12749432.804556722</v>
      </c>
      <c r="AQ132" s="2">
        <v>108</v>
      </c>
      <c r="AR132" s="20">
        <v>569.04525542531997</v>
      </c>
      <c r="AS132" s="19">
        <f t="shared" si="66"/>
        <v>3.9282300566121364E-3</v>
      </c>
      <c r="AT132" s="17">
        <f t="shared" si="67"/>
        <v>142111015.03861532</v>
      </c>
      <c r="AU132" s="17">
        <f t="shared" si="68"/>
        <v>1133213.1904119733</v>
      </c>
      <c r="AV132" s="17">
        <f t="shared" si="69"/>
        <v>558244.76065034803</v>
      </c>
      <c r="AW132" s="17">
        <f t="shared" si="70"/>
        <v>4451.5221151256455</v>
      </c>
      <c r="AX132" s="17">
        <f t="shared" si="71"/>
        <v>1695909.473177447</v>
      </c>
      <c r="AY132" s="17">
        <f t="shared" si="72"/>
        <v>143806924.51179275</v>
      </c>
      <c r="AZ132" s="17">
        <f t="shared" si="81"/>
        <v>11596876.388334364</v>
      </c>
      <c r="BA132" s="17">
        <f t="shared" si="73"/>
        <v>132210048.12345839</v>
      </c>
      <c r="BB132" s="17">
        <f t="shared" si="74"/>
        <v>9900966.9151569158</v>
      </c>
      <c r="BC132" s="16">
        <f t="shared" si="75"/>
        <v>-9247899.3065452874</v>
      </c>
      <c r="BD132" s="16">
        <f t="shared" si="76"/>
        <v>-11596876.388334364</v>
      </c>
    </row>
    <row r="133" spans="2:56" x14ac:dyDescent="0.35">
      <c r="B133" s="2">
        <v>109</v>
      </c>
      <c r="C133" s="17">
        <f t="shared" si="82"/>
        <v>232336.61446599866</v>
      </c>
      <c r="D133" s="18">
        <f t="shared" si="45"/>
        <v>1852.6847905279471</v>
      </c>
      <c r="E133" s="17">
        <f t="shared" si="83"/>
        <v>234189.2992565266</v>
      </c>
      <c r="F133" s="18">
        <f t="shared" si="84"/>
        <v>20379.532695807367</v>
      </c>
      <c r="G133" s="17">
        <f t="shared" si="85"/>
        <v>213809.76656071923</v>
      </c>
      <c r="H133" s="17">
        <f t="shared" si="86"/>
        <v>18526.847905279421</v>
      </c>
      <c r="I133" s="16"/>
      <c r="J133" s="16"/>
      <c r="K133" s="2">
        <v>109</v>
      </c>
      <c r="L133" s="2">
        <v>523.09728559907728</v>
      </c>
      <c r="M133" s="19">
        <f t="shared" si="46"/>
        <v>2.6124146650592373E-3</v>
      </c>
      <c r="N133" s="17">
        <f t="shared" si="47"/>
        <v>121217980.74188285</v>
      </c>
      <c r="O133" s="17">
        <f t="shared" si="48"/>
        <v>966609.20094392588</v>
      </c>
      <c r="P133" s="17">
        <f t="shared" si="49"/>
        <v>316671.63055896293</v>
      </c>
      <c r="Q133" s="17">
        <f t="shared" si="50"/>
        <v>2525.1840519271032</v>
      </c>
      <c r="R133" s="17">
        <f t="shared" si="51"/>
        <v>1285806.015554816</v>
      </c>
      <c r="S133" s="17">
        <f t="shared" si="52"/>
        <v>122503786.75743766</v>
      </c>
      <c r="T133" s="17">
        <f t="shared" si="77"/>
        <v>10660478.23495448</v>
      </c>
      <c r="U133" s="17">
        <f t="shared" si="53"/>
        <v>111843308.52248318</v>
      </c>
      <c r="V133" s="17">
        <f t="shared" si="54"/>
        <v>9374672.2193996646</v>
      </c>
      <c r="W133" s="16">
        <f t="shared" si="78"/>
        <v>-20379.532695807367</v>
      </c>
      <c r="X133" s="16">
        <f t="shared" si="55"/>
        <v>-10660478.23495448</v>
      </c>
      <c r="Y133" s="16"/>
      <c r="Z133" s="16"/>
      <c r="AA133" s="2">
        <v>109</v>
      </c>
      <c r="AB133" s="20">
        <v>628.55123173917457</v>
      </c>
      <c r="AC133" s="19">
        <f t="shared" si="56"/>
        <v>4.7176666275132728E-3</v>
      </c>
      <c r="AD133" s="17">
        <f t="shared" si="57"/>
        <v>145349753.51921684</v>
      </c>
      <c r="AE133" s="17">
        <f t="shared" si="58"/>
        <v>1159039.3458687842</v>
      </c>
      <c r="AF133" s="17">
        <f t="shared" si="59"/>
        <v>685711.6814948892</v>
      </c>
      <c r="AG133" s="17">
        <f t="shared" si="60"/>
        <v>5467.9612419799769</v>
      </c>
      <c r="AH133" s="17">
        <f t="shared" si="61"/>
        <v>1850218.9886056534</v>
      </c>
      <c r="AI133" s="17">
        <f t="shared" si="62"/>
        <v>147199972.50782248</v>
      </c>
      <c r="AJ133" s="17">
        <f t="shared" si="79"/>
        <v>12809580.378218502</v>
      </c>
      <c r="AK133" s="17">
        <f t="shared" si="63"/>
        <v>134390392.12960398</v>
      </c>
      <c r="AL133" s="17">
        <f t="shared" si="64"/>
        <v>10959361.389612848</v>
      </c>
      <c r="AM133" s="16">
        <f t="shared" si="80"/>
        <v>-20379.532695807367</v>
      </c>
      <c r="AN133" s="16">
        <f t="shared" si="65"/>
        <v>-12809580.378218502</v>
      </c>
      <c r="AQ133" s="2">
        <v>109</v>
      </c>
      <c r="AR133" s="20">
        <v>570.64269022098176</v>
      </c>
      <c r="AS133" s="19">
        <f t="shared" si="66"/>
        <v>2.8072192508974414E-3</v>
      </c>
      <c r="AT133" s="17">
        <f t="shared" si="67"/>
        <v>132210048.12345839</v>
      </c>
      <c r="AU133" s="17">
        <f t="shared" si="68"/>
        <v>1054261.4898485818</v>
      </c>
      <c r="AV133" s="17">
        <f t="shared" si="69"/>
        <v>371142.59225424955</v>
      </c>
      <c r="AW133" s="17">
        <f t="shared" si="70"/>
        <v>2959.5431497827562</v>
      </c>
      <c r="AX133" s="17">
        <f t="shared" si="71"/>
        <v>1428363.6252526143</v>
      </c>
      <c r="AY133" s="17">
        <f t="shared" si="72"/>
        <v>133638411.748711</v>
      </c>
      <c r="AZ133" s="17">
        <f t="shared" si="81"/>
        <v>11629431.362981973</v>
      </c>
      <c r="BA133" s="17">
        <f t="shared" si="73"/>
        <v>122008980.38572903</v>
      </c>
      <c r="BB133" s="17">
        <f t="shared" si="74"/>
        <v>10201067.737729359</v>
      </c>
      <c r="BC133" s="16">
        <f t="shared" si="75"/>
        <v>-9374672.2193996646</v>
      </c>
      <c r="BD133" s="16">
        <f t="shared" si="76"/>
        <v>-11629431.362981973</v>
      </c>
    </row>
    <row r="134" spans="2:56" x14ac:dyDescent="0.35">
      <c r="B134" s="2">
        <v>110</v>
      </c>
      <c r="C134" s="17">
        <f t="shared" si="82"/>
        <v>213809.76656071923</v>
      </c>
      <c r="D134" s="18">
        <f t="shared" si="45"/>
        <v>1704.9491036263073</v>
      </c>
      <c r="E134" s="17">
        <f t="shared" si="83"/>
        <v>215514.71566434554</v>
      </c>
      <c r="F134" s="18">
        <f t="shared" si="84"/>
        <v>20379.532695807367</v>
      </c>
      <c r="G134" s="17">
        <f t="shared" si="85"/>
        <v>195135.18296853817</v>
      </c>
      <c r="H134" s="17">
        <f t="shared" si="86"/>
        <v>18674.583592181061</v>
      </c>
      <c r="I134" s="16"/>
      <c r="J134" s="16"/>
      <c r="K134" s="2">
        <v>110</v>
      </c>
      <c r="L134" s="2">
        <v>524.46027193377552</v>
      </c>
      <c r="M134" s="19">
        <f t="shared" si="46"/>
        <v>2.6056077372629272E-3</v>
      </c>
      <c r="N134" s="17">
        <f t="shared" si="47"/>
        <v>111843308.52248318</v>
      </c>
      <c r="O134" s="17">
        <f t="shared" si="48"/>
        <v>891854.24819149007</v>
      </c>
      <c r="P134" s="17">
        <f t="shared" si="49"/>
        <v>291419.79004726687</v>
      </c>
      <c r="Q134" s="17">
        <f t="shared" si="50"/>
        <v>2323.8223295985576</v>
      </c>
      <c r="R134" s="17">
        <f t="shared" si="51"/>
        <v>1185597.8605683555</v>
      </c>
      <c r="S134" s="17">
        <f t="shared" si="52"/>
        <v>113028906.38305154</v>
      </c>
      <c r="T134" s="17">
        <f t="shared" si="77"/>
        <v>10688255.259526402</v>
      </c>
      <c r="U134" s="17">
        <f t="shared" si="53"/>
        <v>102340651.12352514</v>
      </c>
      <c r="V134" s="17">
        <f t="shared" si="54"/>
        <v>9502657.398958046</v>
      </c>
      <c r="W134" s="16">
        <f t="shared" si="78"/>
        <v>-20379.532695807367</v>
      </c>
      <c r="X134" s="16">
        <f t="shared" si="55"/>
        <v>-10688255.259526402</v>
      </c>
      <c r="Y134" s="16"/>
      <c r="Z134" s="16"/>
      <c r="AA134" s="2">
        <v>110</v>
      </c>
      <c r="AB134" s="20">
        <v>631.51652690883293</v>
      </c>
      <c r="AC134" s="19">
        <f t="shared" si="56"/>
        <v>4.7176666275134949E-3</v>
      </c>
      <c r="AD134" s="17">
        <f t="shared" si="57"/>
        <v>134390392.12960398</v>
      </c>
      <c r="AE134" s="17">
        <f t="shared" si="58"/>
        <v>1071647.8591369053</v>
      </c>
      <c r="AF134" s="17">
        <f t="shared" si="59"/>
        <v>634009.0680082849</v>
      </c>
      <c r="AG134" s="17">
        <f t="shared" si="60"/>
        <v>5055.6773414964609</v>
      </c>
      <c r="AH134" s="17">
        <f t="shared" si="61"/>
        <v>1710712.6044866866</v>
      </c>
      <c r="AI134" s="17">
        <f t="shared" si="62"/>
        <v>136101104.73409066</v>
      </c>
      <c r="AJ134" s="17">
        <f t="shared" si="79"/>
        <v>12870011.708081273</v>
      </c>
      <c r="AK134" s="17">
        <f t="shared" si="63"/>
        <v>123231093.02600938</v>
      </c>
      <c r="AL134" s="17">
        <f t="shared" si="64"/>
        <v>11159299.103594586</v>
      </c>
      <c r="AM134" s="16">
        <f t="shared" si="80"/>
        <v>-20379.532695807367</v>
      </c>
      <c r="AN134" s="16">
        <f t="shared" si="65"/>
        <v>-12870011.708081273</v>
      </c>
      <c r="AQ134" s="2">
        <v>110</v>
      </c>
      <c r="AR134" s="20">
        <v>571.5563471673222</v>
      </c>
      <c r="AS134" s="19">
        <f t="shared" si="66"/>
        <v>1.6011016385517607E-3</v>
      </c>
      <c r="AT134" s="17">
        <f t="shared" si="67"/>
        <v>122008980.38572903</v>
      </c>
      <c r="AU134" s="17">
        <f t="shared" si="68"/>
        <v>972916.74318316823</v>
      </c>
      <c r="AV134" s="17">
        <f t="shared" si="69"/>
        <v>195348.77841362037</v>
      </c>
      <c r="AW134" s="17">
        <f t="shared" si="70"/>
        <v>1557.7385916850133</v>
      </c>
      <c r="AX134" s="17">
        <f t="shared" si="71"/>
        <v>1169823.2601884736</v>
      </c>
      <c r="AY134" s="17">
        <f t="shared" si="72"/>
        <v>123178803.64591751</v>
      </c>
      <c r="AZ134" s="17">
        <f t="shared" si="81"/>
        <v>11648051.26459267</v>
      </c>
      <c r="BA134" s="17">
        <f t="shared" si="73"/>
        <v>111530752.38132483</v>
      </c>
      <c r="BB134" s="17">
        <f t="shared" si="74"/>
        <v>10478228.004404197</v>
      </c>
      <c r="BC134" s="16">
        <f t="shared" si="75"/>
        <v>-9502657.398958046</v>
      </c>
      <c r="BD134" s="16">
        <f t="shared" si="76"/>
        <v>-11648051.26459267</v>
      </c>
    </row>
    <row r="135" spans="2:56" x14ac:dyDescent="0.35">
      <c r="B135" s="2">
        <v>111</v>
      </c>
      <c r="C135" s="17">
        <f t="shared" si="82"/>
        <v>195135.18296853817</v>
      </c>
      <c r="D135" s="18">
        <f t="shared" si="45"/>
        <v>1556.0353516109535</v>
      </c>
      <c r="E135" s="17">
        <f t="shared" si="83"/>
        <v>196691.21832014911</v>
      </c>
      <c r="F135" s="18">
        <f t="shared" si="84"/>
        <v>20379.532695807367</v>
      </c>
      <c r="G135" s="17">
        <f t="shared" si="85"/>
        <v>176311.68562434174</v>
      </c>
      <c r="H135" s="17">
        <f t="shared" si="86"/>
        <v>18823.497344196414</v>
      </c>
      <c r="I135" s="16"/>
      <c r="J135" s="16"/>
      <c r="K135" s="2">
        <v>111</v>
      </c>
      <c r="L135" s="2">
        <v>525.82325826847432</v>
      </c>
      <c r="M135" s="19">
        <f t="shared" si="46"/>
        <v>2.5988361895805667E-3</v>
      </c>
      <c r="N135" s="17">
        <f t="shared" si="47"/>
        <v>102340651.12352514</v>
      </c>
      <c r="O135" s="17">
        <f t="shared" si="48"/>
        <v>816078.72364443727</v>
      </c>
      <c r="P135" s="17">
        <f t="shared" si="49"/>
        <v>265966.58780505625</v>
      </c>
      <c r="Q135" s="17">
        <f t="shared" si="50"/>
        <v>2120.8549205538816</v>
      </c>
      <c r="R135" s="17">
        <f t="shared" si="51"/>
        <v>1084166.1663700473</v>
      </c>
      <c r="S135" s="17">
        <f t="shared" si="52"/>
        <v>103424817.28989519</v>
      </c>
      <c r="T135" s="17">
        <f t="shared" si="77"/>
        <v>10716032.284098335</v>
      </c>
      <c r="U135" s="17">
        <f t="shared" si="53"/>
        <v>92708785.00579685</v>
      </c>
      <c r="V135" s="17">
        <f t="shared" si="54"/>
        <v>9631866.1177282874</v>
      </c>
      <c r="W135" s="16">
        <f t="shared" si="78"/>
        <v>-20379.532695807367</v>
      </c>
      <c r="X135" s="16">
        <f t="shared" si="55"/>
        <v>-10716032.284098335</v>
      </c>
      <c r="Y135" s="16"/>
      <c r="Z135" s="16"/>
      <c r="AA135" s="2">
        <v>111</v>
      </c>
      <c r="AB135" s="20">
        <v>634.4958113525538</v>
      </c>
      <c r="AC135" s="19">
        <f t="shared" si="56"/>
        <v>4.7176666275132728E-3</v>
      </c>
      <c r="AD135" s="17">
        <f t="shared" si="57"/>
        <v>123231093.02600938</v>
      </c>
      <c r="AE135" s="17">
        <f t="shared" si="58"/>
        <v>982662.04099670216</v>
      </c>
      <c r="AF135" s="17">
        <f t="shared" si="59"/>
        <v>581363.21504078805</v>
      </c>
      <c r="AG135" s="17">
        <f t="shared" si="60"/>
        <v>4635.8719169342212</v>
      </c>
      <c r="AH135" s="17">
        <f t="shared" si="61"/>
        <v>1568661.1279544244</v>
      </c>
      <c r="AI135" s="17">
        <f t="shared" si="62"/>
        <v>124799754.1539638</v>
      </c>
      <c r="AJ135" s="17">
        <f t="shared" si="79"/>
        <v>12930728.132812195</v>
      </c>
      <c r="AK135" s="17">
        <f t="shared" si="63"/>
        <v>111869026.0211516</v>
      </c>
      <c r="AL135" s="17">
        <f t="shared" si="64"/>
        <v>11362067.004857771</v>
      </c>
      <c r="AM135" s="16">
        <f t="shared" si="80"/>
        <v>-20379.532695807367</v>
      </c>
      <c r="AN135" s="16">
        <f t="shared" si="65"/>
        <v>-12930728.132812195</v>
      </c>
      <c r="AQ135" s="2">
        <v>111</v>
      </c>
      <c r="AR135" s="20">
        <v>572.2737345468513</v>
      </c>
      <c r="AS135" s="19">
        <f t="shared" si="66"/>
        <v>1.2551472537827291E-3</v>
      </c>
      <c r="AT135" s="17">
        <f t="shared" si="67"/>
        <v>111530752.38132483</v>
      </c>
      <c r="AU135" s="17">
        <f t="shared" si="68"/>
        <v>889361.88162997714</v>
      </c>
      <c r="AV135" s="17">
        <f t="shared" si="69"/>
        <v>139987.51756374142</v>
      </c>
      <c r="AW135" s="17">
        <f t="shared" si="70"/>
        <v>1116.2801233469063</v>
      </c>
      <c r="AX135" s="17">
        <f t="shared" si="71"/>
        <v>1030465.6793170655</v>
      </c>
      <c r="AY135" s="17">
        <f t="shared" si="72"/>
        <v>112561218.0606419</v>
      </c>
      <c r="AZ135" s="17">
        <f t="shared" si="81"/>
        <v>11662671.284149343</v>
      </c>
      <c r="BA135" s="17">
        <f t="shared" si="73"/>
        <v>100898546.77649255</v>
      </c>
      <c r="BB135" s="17">
        <f t="shared" si="74"/>
        <v>10632205.604832277</v>
      </c>
      <c r="BC135" s="16">
        <f t="shared" si="75"/>
        <v>-9631866.1177282874</v>
      </c>
      <c r="BD135" s="16">
        <f t="shared" si="76"/>
        <v>-11662671.284149343</v>
      </c>
    </row>
    <row r="136" spans="2:56" x14ac:dyDescent="0.35">
      <c r="B136" s="2">
        <v>112</v>
      </c>
      <c r="C136" s="17">
        <f t="shared" si="82"/>
        <v>176311.68562434174</v>
      </c>
      <c r="D136" s="18">
        <f t="shared" si="45"/>
        <v>1405.9341404252341</v>
      </c>
      <c r="E136" s="17">
        <f t="shared" si="83"/>
        <v>177717.61976476698</v>
      </c>
      <c r="F136" s="18">
        <f t="shared" si="84"/>
        <v>20379.532695807367</v>
      </c>
      <c r="G136" s="17">
        <f t="shared" si="85"/>
        <v>157338.0870689596</v>
      </c>
      <c r="H136" s="17">
        <f t="shared" si="86"/>
        <v>18973.598555382134</v>
      </c>
      <c r="I136" s="16"/>
      <c r="J136" s="16"/>
      <c r="K136" s="2">
        <v>112</v>
      </c>
      <c r="L136" s="2">
        <v>527.18624460314811</v>
      </c>
      <c r="M136" s="19">
        <f t="shared" si="46"/>
        <v>2.5920997469037754E-3</v>
      </c>
      <c r="N136" s="17">
        <f t="shared" si="47"/>
        <v>92708785.00579685</v>
      </c>
      <c r="O136" s="17">
        <f t="shared" si="48"/>
        <v>739272.87062927173</v>
      </c>
      <c r="P136" s="17">
        <f t="shared" si="49"/>
        <v>240310.41814928254</v>
      </c>
      <c r="Q136" s="17">
        <f t="shared" si="50"/>
        <v>1916.2690208509628</v>
      </c>
      <c r="R136" s="17">
        <f t="shared" si="51"/>
        <v>981499.5577994053</v>
      </c>
      <c r="S136" s="17">
        <f t="shared" si="52"/>
        <v>93690284.563596249</v>
      </c>
      <c r="T136" s="17">
        <f t="shared" si="77"/>
        <v>10743809.308669757</v>
      </c>
      <c r="U136" s="17">
        <f t="shared" si="53"/>
        <v>82946475.254926488</v>
      </c>
      <c r="V136" s="17">
        <f t="shared" si="54"/>
        <v>9762309.7508703526</v>
      </c>
      <c r="W136" s="16">
        <f t="shared" si="78"/>
        <v>-20379.532695807367</v>
      </c>
      <c r="X136" s="16">
        <f t="shared" si="55"/>
        <v>-10743809.308669757</v>
      </c>
      <c r="Y136" s="16"/>
      <c r="Z136" s="16"/>
      <c r="AA136" s="2">
        <v>112</v>
      </c>
      <c r="AB136" s="20">
        <v>637.48915106706875</v>
      </c>
      <c r="AC136" s="19">
        <f t="shared" si="56"/>
        <v>4.7176666275132728E-3</v>
      </c>
      <c r="AD136" s="17">
        <f t="shared" si="57"/>
        <v>111869026.0211516</v>
      </c>
      <c r="AE136" s="17">
        <f t="shared" si="58"/>
        <v>892059.32313735224</v>
      </c>
      <c r="AF136" s="17">
        <f t="shared" si="59"/>
        <v>527760.77071240079</v>
      </c>
      <c r="AG136" s="17">
        <f t="shared" si="60"/>
        <v>4208.4384985271654</v>
      </c>
      <c r="AH136" s="17">
        <f t="shared" si="61"/>
        <v>1424028.5323482803</v>
      </c>
      <c r="AI136" s="17">
        <f t="shared" si="62"/>
        <v>113293054.55349988</v>
      </c>
      <c r="AJ136" s="17">
        <f t="shared" si="79"/>
        <v>12991730.997393809</v>
      </c>
      <c r="AK136" s="17">
        <f t="shared" si="63"/>
        <v>100301323.55610606</v>
      </c>
      <c r="AL136" s="17">
        <f t="shared" si="64"/>
        <v>11567702.465045528</v>
      </c>
      <c r="AM136" s="16">
        <f t="shared" si="80"/>
        <v>-20379.532695807367</v>
      </c>
      <c r="AN136" s="16">
        <f t="shared" si="65"/>
        <v>-12991730.997393809</v>
      </c>
      <c r="AQ136" s="2">
        <v>112</v>
      </c>
      <c r="AR136" s="20">
        <v>573.79689369655239</v>
      </c>
      <c r="AS136" s="19">
        <f t="shared" si="66"/>
        <v>2.6615919231505192E-3</v>
      </c>
      <c r="AT136" s="17">
        <f t="shared" si="67"/>
        <v>100898546.77649255</v>
      </c>
      <c r="AU136" s="17">
        <f t="shared" si="68"/>
        <v>804579.18106806686</v>
      </c>
      <c r="AV136" s="17">
        <f t="shared" si="69"/>
        <v>268550.75715793745</v>
      </c>
      <c r="AW136" s="17">
        <f t="shared" si="70"/>
        <v>2141.4614498658257</v>
      </c>
      <c r="AX136" s="17">
        <f t="shared" si="71"/>
        <v>1075271.3996758701</v>
      </c>
      <c r="AY136" s="17">
        <f t="shared" si="72"/>
        <v>101973818.17616843</v>
      </c>
      <c r="AZ136" s="17">
        <f t="shared" si="81"/>
        <v>11693712.555841593</v>
      </c>
      <c r="BA136" s="17">
        <f t="shared" si="73"/>
        <v>90280105.620326832</v>
      </c>
      <c r="BB136" s="17">
        <f t="shared" si="74"/>
        <v>10618441.156165723</v>
      </c>
      <c r="BC136" s="16">
        <f t="shared" si="75"/>
        <v>-9762309.7508703526</v>
      </c>
      <c r="BD136" s="16">
        <f t="shared" si="76"/>
        <v>-11693712.555841593</v>
      </c>
    </row>
    <row r="137" spans="2:56" x14ac:dyDescent="0.35">
      <c r="B137" s="2">
        <v>113</v>
      </c>
      <c r="C137" s="17">
        <f t="shared" si="82"/>
        <v>157338.0870689596</v>
      </c>
      <c r="D137" s="18">
        <f t="shared" si="45"/>
        <v>1254.6360011029712</v>
      </c>
      <c r="E137" s="17">
        <f t="shared" si="83"/>
        <v>158592.72307006258</v>
      </c>
      <c r="F137" s="18">
        <f t="shared" si="84"/>
        <v>20379.532695807367</v>
      </c>
      <c r="G137" s="17">
        <f t="shared" si="85"/>
        <v>138213.19037425521</v>
      </c>
      <c r="H137" s="17">
        <f t="shared" si="86"/>
        <v>19124.896694704395</v>
      </c>
      <c r="I137" s="16"/>
      <c r="J137" s="16"/>
      <c r="K137" s="2">
        <v>113</v>
      </c>
      <c r="L137" s="2">
        <v>528.54923093786101</v>
      </c>
      <c r="M137" s="19">
        <f t="shared" si="46"/>
        <v>2.5853981371211088E-3</v>
      </c>
      <c r="N137" s="17">
        <f t="shared" si="47"/>
        <v>82946475.254926488</v>
      </c>
      <c r="O137" s="17">
        <f t="shared" si="48"/>
        <v>661426.84176537499</v>
      </c>
      <c r="P137" s="17">
        <f t="shared" si="49"/>
        <v>214449.66260484909</v>
      </c>
      <c r="Q137" s="17">
        <f t="shared" si="50"/>
        <v>1710.0517245420988</v>
      </c>
      <c r="R137" s="17">
        <f t="shared" si="51"/>
        <v>877586.55609476613</v>
      </c>
      <c r="S137" s="17">
        <f t="shared" si="52"/>
        <v>83824061.811021253</v>
      </c>
      <c r="T137" s="17">
        <f t="shared" si="77"/>
        <v>10771586.333241977</v>
      </c>
      <c r="U137" s="17">
        <f t="shared" si="53"/>
        <v>73052475.477779269</v>
      </c>
      <c r="V137" s="17">
        <f t="shared" si="54"/>
        <v>9893999.7771472111</v>
      </c>
      <c r="W137" s="16">
        <f t="shared" si="78"/>
        <v>-20379.532695807367</v>
      </c>
      <c r="X137" s="16">
        <f t="shared" si="55"/>
        <v>-10771586.333241977</v>
      </c>
      <c r="Y137" s="16"/>
      <c r="Z137" s="16"/>
      <c r="AA137" s="2">
        <v>113</v>
      </c>
      <c r="AB137" s="20">
        <v>640.49661236045949</v>
      </c>
      <c r="AC137" s="19">
        <f t="shared" si="56"/>
        <v>4.7176666275130508E-3</v>
      </c>
      <c r="AD137" s="17">
        <f t="shared" si="57"/>
        <v>100301323.55610606</v>
      </c>
      <c r="AE137" s="17">
        <f t="shared" si="58"/>
        <v>799816.83924130281</v>
      </c>
      <c r="AF137" s="17">
        <f t="shared" si="59"/>
        <v>473188.20683603018</v>
      </c>
      <c r="AG137" s="17">
        <f t="shared" si="60"/>
        <v>3773.2692106116647</v>
      </c>
      <c r="AH137" s="17">
        <f t="shared" si="61"/>
        <v>1276778.3152879446</v>
      </c>
      <c r="AI137" s="17">
        <f t="shared" si="62"/>
        <v>101578101.87139401</v>
      </c>
      <c r="AJ137" s="17">
        <f t="shared" si="79"/>
        <v>13053021.653153842</v>
      </c>
      <c r="AK137" s="17">
        <f t="shared" si="63"/>
        <v>88525080.218240172</v>
      </c>
      <c r="AL137" s="17">
        <f t="shared" si="64"/>
        <v>11776243.337865898</v>
      </c>
      <c r="AM137" s="16">
        <f t="shared" si="80"/>
        <v>-20379.532695807367</v>
      </c>
      <c r="AN137" s="16">
        <f t="shared" si="65"/>
        <v>-13053021.653153842</v>
      </c>
      <c r="AQ137" s="2">
        <v>113</v>
      </c>
      <c r="AR137" s="20">
        <v>577.20764232336808</v>
      </c>
      <c r="AS137" s="19">
        <f t="shared" si="66"/>
        <v>5.9441740871803983E-3</v>
      </c>
      <c r="AT137" s="17">
        <f t="shared" si="67"/>
        <v>90280105.620326832</v>
      </c>
      <c r="AU137" s="17">
        <f t="shared" si="68"/>
        <v>719906.24015275016</v>
      </c>
      <c r="AV137" s="17">
        <f t="shared" si="69"/>
        <v>536640.66441625624</v>
      </c>
      <c r="AW137" s="17">
        <f t="shared" si="70"/>
        <v>4279.2480179154463</v>
      </c>
      <c r="AX137" s="17">
        <f t="shared" si="71"/>
        <v>1260826.1525869218</v>
      </c>
      <c r="AY137" s="17">
        <f t="shared" si="72"/>
        <v>91540931.772913754</v>
      </c>
      <c r="AZ137" s="17">
        <f t="shared" si="81"/>
        <v>11763222.018998964</v>
      </c>
      <c r="BA137" s="17">
        <f t="shared" si="73"/>
        <v>79777709.753914788</v>
      </c>
      <c r="BB137" s="17">
        <f t="shared" si="74"/>
        <v>10502395.866412042</v>
      </c>
      <c r="BC137" s="16">
        <f t="shared" si="75"/>
        <v>-9893999.7771472111</v>
      </c>
      <c r="BD137" s="16">
        <f t="shared" si="76"/>
        <v>-11763222.018998964</v>
      </c>
    </row>
    <row r="138" spans="2:56" x14ac:dyDescent="0.35">
      <c r="B138" s="2">
        <v>114</v>
      </c>
      <c r="C138" s="17">
        <f t="shared" si="82"/>
        <v>138213.19037425521</v>
      </c>
      <c r="D138" s="18">
        <f t="shared" si="45"/>
        <v>1102.1313891711211</v>
      </c>
      <c r="E138" s="17">
        <f t="shared" si="83"/>
        <v>139315.32176342633</v>
      </c>
      <c r="F138" s="18">
        <f t="shared" si="84"/>
        <v>20379.532695807367</v>
      </c>
      <c r="G138" s="17">
        <f t="shared" si="85"/>
        <v>118935.78906761896</v>
      </c>
      <c r="H138" s="17">
        <f t="shared" si="86"/>
        <v>19277.401306636246</v>
      </c>
      <c r="I138" s="16"/>
      <c r="J138" s="16"/>
      <c r="K138" s="2">
        <v>114</v>
      </c>
      <c r="L138" s="2">
        <v>529.91221727252912</v>
      </c>
      <c r="M138" s="19">
        <f t="shared" si="46"/>
        <v>2.5787310904787919E-3</v>
      </c>
      <c r="N138" s="17">
        <f t="shared" si="47"/>
        <v>73052475.477779269</v>
      </c>
      <c r="O138" s="17">
        <f t="shared" si="48"/>
        <v>582530.69813886052</v>
      </c>
      <c r="P138" s="17">
        <f t="shared" si="49"/>
        <v>188382.68975098894</v>
      </c>
      <c r="Q138" s="17">
        <f t="shared" si="50"/>
        <v>1502.1900224489957</v>
      </c>
      <c r="R138" s="17">
        <f t="shared" si="51"/>
        <v>772415.5779122985</v>
      </c>
      <c r="S138" s="17">
        <f t="shared" si="52"/>
        <v>73824891.05569157</v>
      </c>
      <c r="T138" s="17">
        <f t="shared" si="77"/>
        <v>10799363.357813286</v>
      </c>
      <c r="U138" s="17">
        <f t="shared" si="53"/>
        <v>63025527.697878286</v>
      </c>
      <c r="V138" s="17">
        <f t="shared" si="54"/>
        <v>10026947.779900987</v>
      </c>
      <c r="W138" s="16">
        <f t="shared" si="78"/>
        <v>-20379.532695807367</v>
      </c>
      <c r="X138" s="16">
        <f t="shared" si="55"/>
        <v>-10799363.357813286</v>
      </c>
      <c r="Y138" s="16"/>
      <c r="Z138" s="16"/>
      <c r="AA138" s="2">
        <v>114</v>
      </c>
      <c r="AB138" s="20">
        <v>643.51826185362791</v>
      </c>
      <c r="AC138" s="19">
        <f t="shared" si="56"/>
        <v>4.7176666275134949E-3</v>
      </c>
      <c r="AD138" s="17">
        <f t="shared" si="57"/>
        <v>88525080.218240172</v>
      </c>
      <c r="AE138" s="17">
        <f t="shared" si="58"/>
        <v>705911.4211402178</v>
      </c>
      <c r="AF138" s="17">
        <f t="shared" si="59"/>
        <v>417631.81664354668</v>
      </c>
      <c r="AG138" s="17">
        <f t="shared" si="60"/>
        <v>3330.2547534938299</v>
      </c>
      <c r="AH138" s="17">
        <f t="shared" si="61"/>
        <v>1126873.4925372582</v>
      </c>
      <c r="AI138" s="17">
        <f t="shared" si="62"/>
        <v>89651953.710777432</v>
      </c>
      <c r="AJ138" s="17">
        <f t="shared" si="79"/>
        <v>13114601.457795138</v>
      </c>
      <c r="AK138" s="17">
        <f t="shared" si="63"/>
        <v>76537352.252982289</v>
      </c>
      <c r="AL138" s="17">
        <f t="shared" si="64"/>
        <v>11987727.965257879</v>
      </c>
      <c r="AM138" s="16">
        <f t="shared" si="80"/>
        <v>-20379.532695807367</v>
      </c>
      <c r="AN138" s="16">
        <f t="shared" si="65"/>
        <v>-13114601.457795138</v>
      </c>
      <c r="AQ138" s="2">
        <v>114</v>
      </c>
      <c r="AR138" s="20">
        <v>580.09308623604579</v>
      </c>
      <c r="AS138" s="19">
        <f t="shared" si="66"/>
        <v>4.9989703896906601E-3</v>
      </c>
      <c r="AT138" s="17">
        <f t="shared" si="67"/>
        <v>79777709.753914788</v>
      </c>
      <c r="AU138" s="17">
        <f t="shared" si="68"/>
        <v>636158.66067404207</v>
      </c>
      <c r="AV138" s="17">
        <f t="shared" si="69"/>
        <v>398806.40881715581</v>
      </c>
      <c r="AW138" s="17">
        <f t="shared" si="70"/>
        <v>3180.1383078548047</v>
      </c>
      <c r="AX138" s="17">
        <f t="shared" si="71"/>
        <v>1038145.2077990526</v>
      </c>
      <c r="AY138" s="17">
        <f t="shared" si="72"/>
        <v>80815854.961713836</v>
      </c>
      <c r="AZ138" s="17">
        <f t="shared" si="81"/>
        <v>11822026.017559297</v>
      </c>
      <c r="BA138" s="17">
        <f t="shared" si="73"/>
        <v>68993828.944154531</v>
      </c>
      <c r="BB138" s="17">
        <f t="shared" si="74"/>
        <v>10783880.809760245</v>
      </c>
      <c r="BC138" s="16">
        <f t="shared" si="75"/>
        <v>-10026947.779900987</v>
      </c>
      <c r="BD138" s="16">
        <f t="shared" si="76"/>
        <v>-11822026.017559297</v>
      </c>
    </row>
    <row r="139" spans="2:56" x14ac:dyDescent="0.35">
      <c r="B139" s="2">
        <v>115</v>
      </c>
      <c r="C139" s="17">
        <f t="shared" si="82"/>
        <v>118935.78906761896</v>
      </c>
      <c r="D139" s="18">
        <f t="shared" si="45"/>
        <v>948.41068404767066</v>
      </c>
      <c r="E139" s="17">
        <f t="shared" si="83"/>
        <v>119884.19975166663</v>
      </c>
      <c r="F139" s="18">
        <f t="shared" si="84"/>
        <v>20379.532695807367</v>
      </c>
      <c r="G139" s="17">
        <f t="shared" si="85"/>
        <v>99504.66705585926</v>
      </c>
      <c r="H139" s="17">
        <f t="shared" si="86"/>
        <v>19431.122011759697</v>
      </c>
      <c r="I139" s="16"/>
      <c r="J139" s="16"/>
      <c r="K139" s="2">
        <v>115</v>
      </c>
      <c r="L139" s="2">
        <v>531.27520360724156</v>
      </c>
      <c r="M139" s="19">
        <f t="shared" si="46"/>
        <v>2.5720983406039011E-3</v>
      </c>
      <c r="N139" s="17">
        <f t="shared" si="47"/>
        <v>63025527.697878286</v>
      </c>
      <c r="O139" s="17">
        <f t="shared" si="48"/>
        <v>502574.40846864524</v>
      </c>
      <c r="P139" s="17">
        <f t="shared" si="49"/>
        <v>162107.85520739795</v>
      </c>
      <c r="Q139" s="17">
        <f t="shared" si="50"/>
        <v>1292.6708020521896</v>
      </c>
      <c r="R139" s="17">
        <f t="shared" si="51"/>
        <v>665974.93447809538</v>
      </c>
      <c r="S139" s="17">
        <f t="shared" si="52"/>
        <v>63691502.632356383</v>
      </c>
      <c r="T139" s="17">
        <f t="shared" si="77"/>
        <v>10827140.382385496</v>
      </c>
      <c r="U139" s="17">
        <f t="shared" si="53"/>
        <v>52864362.249970883</v>
      </c>
      <c r="V139" s="17">
        <f t="shared" si="54"/>
        <v>10161165.447907401</v>
      </c>
      <c r="W139" s="16">
        <f t="shared" si="78"/>
        <v>-20379.532695807367</v>
      </c>
      <c r="X139" s="16">
        <f t="shared" si="55"/>
        <v>-10827140.382385496</v>
      </c>
      <c r="Y139" s="16"/>
      <c r="Z139" s="16"/>
      <c r="AA139" s="2">
        <v>115</v>
      </c>
      <c r="AB139" s="20">
        <v>646.55416648177004</v>
      </c>
      <c r="AC139" s="19">
        <f t="shared" si="56"/>
        <v>4.7176666275130508E-3</v>
      </c>
      <c r="AD139" s="17">
        <f t="shared" si="57"/>
        <v>76537352.252982289</v>
      </c>
      <c r="AE139" s="17">
        <f t="shared" si="58"/>
        <v>610319.59492175467</v>
      </c>
      <c r="AF139" s="17">
        <f t="shared" si="59"/>
        <v>361077.71248210536</v>
      </c>
      <c r="AG139" s="17">
        <f t="shared" si="60"/>
        <v>2879.2843850796457</v>
      </c>
      <c r="AH139" s="17">
        <f t="shared" si="61"/>
        <v>974276.59178893967</v>
      </c>
      <c r="AI139" s="17">
        <f t="shared" si="62"/>
        <v>77511628.844771221</v>
      </c>
      <c r="AJ139" s="17">
        <f t="shared" si="79"/>
        <v>13176471.775425712</v>
      </c>
      <c r="AK139" s="17">
        <f t="shared" si="63"/>
        <v>64335157.069345511</v>
      </c>
      <c r="AL139" s="17">
        <f t="shared" si="64"/>
        <v>12202195.183636772</v>
      </c>
      <c r="AM139" s="16">
        <f t="shared" si="80"/>
        <v>-20379.532695807367</v>
      </c>
      <c r="AN139" s="16">
        <f t="shared" si="65"/>
        <v>-13176471.775425712</v>
      </c>
      <c r="AQ139" s="2">
        <v>115</v>
      </c>
      <c r="AR139" s="20">
        <v>582.58848642892622</v>
      </c>
      <c r="AS139" s="19">
        <f t="shared" si="66"/>
        <v>4.301723726914064E-3</v>
      </c>
      <c r="AT139" s="17">
        <f t="shared" si="67"/>
        <v>68993828.944154531</v>
      </c>
      <c r="AU139" s="17">
        <f t="shared" si="68"/>
        <v>550166.48072845337</v>
      </c>
      <c r="AV139" s="17">
        <f t="shared" si="69"/>
        <v>296792.39097971987</v>
      </c>
      <c r="AW139" s="17">
        <f t="shared" si="70"/>
        <v>2366.6642039023968</v>
      </c>
      <c r="AX139" s="17">
        <f t="shared" si="71"/>
        <v>849325.53591207555</v>
      </c>
      <c r="AY139" s="17">
        <f t="shared" si="72"/>
        <v>69843154.480066612</v>
      </c>
      <c r="AZ139" s="17">
        <f t="shared" si="81"/>
        <v>11872881.107379228</v>
      </c>
      <c r="BA139" s="17">
        <f t="shared" si="73"/>
        <v>57970273.372687384</v>
      </c>
      <c r="BB139" s="17">
        <f t="shared" si="74"/>
        <v>11023555.571467152</v>
      </c>
      <c r="BC139" s="16">
        <f t="shared" si="75"/>
        <v>-10161165.447907401</v>
      </c>
      <c r="BD139" s="16">
        <f t="shared" si="76"/>
        <v>-11872881.107379228</v>
      </c>
    </row>
    <row r="140" spans="2:56" x14ac:dyDescent="0.35">
      <c r="B140" s="2">
        <v>116</v>
      </c>
      <c r="C140" s="17">
        <f t="shared" si="82"/>
        <v>99504.66705585926</v>
      </c>
      <c r="D140" s="18">
        <f t="shared" si="45"/>
        <v>793.46418843473577</v>
      </c>
      <c r="E140" s="17">
        <f t="shared" si="83"/>
        <v>100298.131244294</v>
      </c>
      <c r="F140" s="18">
        <f t="shared" si="84"/>
        <v>20379.532695807367</v>
      </c>
      <c r="G140" s="17">
        <f t="shared" si="85"/>
        <v>79918.598548486625</v>
      </c>
      <c r="H140" s="17">
        <f t="shared" si="86"/>
        <v>19586.068507372631</v>
      </c>
      <c r="I140" s="16"/>
      <c r="J140" s="16"/>
      <c r="K140" s="2">
        <v>116</v>
      </c>
      <c r="L140" s="2">
        <v>532.63818994191433</v>
      </c>
      <c r="M140" s="19">
        <f t="shared" si="46"/>
        <v>2.5654996232054028E-3</v>
      </c>
      <c r="N140" s="17">
        <f t="shared" si="47"/>
        <v>52864362.249970883</v>
      </c>
      <c r="O140" s="17">
        <f t="shared" si="48"/>
        <v>421547.84826570679</v>
      </c>
      <c r="P140" s="17">
        <f t="shared" si="49"/>
        <v>135623.50143329421</v>
      </c>
      <c r="Q140" s="17">
        <f t="shared" si="50"/>
        <v>1081.4808458887192</v>
      </c>
      <c r="R140" s="17">
        <f t="shared" si="51"/>
        <v>558252.83054488967</v>
      </c>
      <c r="S140" s="17">
        <f t="shared" si="52"/>
        <v>53422615.080515772</v>
      </c>
      <c r="T140" s="17">
        <f t="shared" si="77"/>
        <v>10854917.406956898</v>
      </c>
      <c r="U140" s="17">
        <f t="shared" si="53"/>
        <v>42567697.673558876</v>
      </c>
      <c r="V140" s="17">
        <f t="shared" si="54"/>
        <v>10296664.576412009</v>
      </c>
      <c r="W140" s="16">
        <f t="shared" si="78"/>
        <v>-20379.532695807367</v>
      </c>
      <c r="X140" s="16">
        <f t="shared" si="55"/>
        <v>-10854917.406956898</v>
      </c>
      <c r="Y140" s="16"/>
      <c r="Z140" s="16"/>
      <c r="AA140" s="2">
        <v>116</v>
      </c>
      <c r="AB140" s="20">
        <v>649.60439349586079</v>
      </c>
      <c r="AC140" s="19">
        <f t="shared" si="56"/>
        <v>4.7176666275132728E-3</v>
      </c>
      <c r="AD140" s="17">
        <f t="shared" si="57"/>
        <v>64335157.069345511</v>
      </c>
      <c r="AE140" s="17">
        <f t="shared" si="58"/>
        <v>513017.57698654186</v>
      </c>
      <c r="AF140" s="17">
        <f t="shared" si="59"/>
        <v>303511.82348187594</v>
      </c>
      <c r="AG140" s="17">
        <f t="shared" si="60"/>
        <v>2420.2459022771295</v>
      </c>
      <c r="AH140" s="17">
        <f t="shared" si="61"/>
        <v>818949.64637069497</v>
      </c>
      <c r="AI140" s="17">
        <f t="shared" si="62"/>
        <v>65154106.715716206</v>
      </c>
      <c r="AJ140" s="17">
        <f t="shared" si="79"/>
        <v>13238633.976589009</v>
      </c>
      <c r="AK140" s="17">
        <f t="shared" si="63"/>
        <v>51915472.739127196</v>
      </c>
      <c r="AL140" s="17">
        <f t="shared" si="64"/>
        <v>12419684.330218315</v>
      </c>
      <c r="AM140" s="16">
        <f t="shared" si="80"/>
        <v>-20379.532695807367</v>
      </c>
      <c r="AN140" s="16">
        <f t="shared" si="65"/>
        <v>-13238633.976589009</v>
      </c>
      <c r="AQ140" s="2">
        <v>116</v>
      </c>
      <c r="AR140" s="20">
        <v>585.09513689935898</v>
      </c>
      <c r="AS140" s="19">
        <f t="shared" si="66"/>
        <v>4.3026090093158942E-3</v>
      </c>
      <c r="AT140" s="17">
        <f t="shared" si="67"/>
        <v>57970273.372687384</v>
      </c>
      <c r="AU140" s="17">
        <f t="shared" si="68"/>
        <v>462263.10057574982</v>
      </c>
      <c r="AV140" s="17">
        <f t="shared" si="69"/>
        <v>249423.42048583002</v>
      </c>
      <c r="AW140" s="17">
        <f t="shared" si="70"/>
        <v>1988.9373812115205</v>
      </c>
      <c r="AX140" s="17">
        <f t="shared" si="71"/>
        <v>713675.45844279137</v>
      </c>
      <c r="AY140" s="17">
        <f t="shared" si="72"/>
        <v>58683948.831130177</v>
      </c>
      <c r="AZ140" s="17">
        <f t="shared" si="81"/>
        <v>11923965.472598374</v>
      </c>
      <c r="BA140" s="17">
        <f t="shared" si="73"/>
        <v>46759983.358531803</v>
      </c>
      <c r="BB140" s="17">
        <f t="shared" si="74"/>
        <v>11210290.014155582</v>
      </c>
      <c r="BC140" s="16">
        <f t="shared" si="75"/>
        <v>-10296664.576412009</v>
      </c>
      <c r="BD140" s="16">
        <f t="shared" si="76"/>
        <v>-11923965.472598374</v>
      </c>
    </row>
    <row r="141" spans="2:56" x14ac:dyDescent="0.35">
      <c r="B141" s="2">
        <v>117</v>
      </c>
      <c r="C141" s="17">
        <f t="shared" si="82"/>
        <v>79918.598548486625</v>
      </c>
      <c r="D141" s="18">
        <f t="shared" si="45"/>
        <v>637.28212770681694</v>
      </c>
      <c r="E141" s="17">
        <f t="shared" si="83"/>
        <v>80555.880676193439</v>
      </c>
      <c r="F141" s="18">
        <f t="shared" si="84"/>
        <v>20379.532695807367</v>
      </c>
      <c r="G141" s="17">
        <f t="shared" si="85"/>
        <v>60176.347980386068</v>
      </c>
      <c r="H141" s="17">
        <f t="shared" si="86"/>
        <v>19742.25056810055</v>
      </c>
      <c r="I141" s="16"/>
      <c r="J141" s="16"/>
      <c r="K141" s="2">
        <v>117</v>
      </c>
      <c r="L141" s="2">
        <v>534.00117627661984</v>
      </c>
      <c r="M141" s="19">
        <f t="shared" si="46"/>
        <v>2.5589346773164934E-3</v>
      </c>
      <c r="N141" s="17">
        <f t="shared" si="47"/>
        <v>42567697.673558876</v>
      </c>
      <c r="O141" s="17">
        <f t="shared" si="48"/>
        <v>339440.79898407852</v>
      </c>
      <c r="P141" s="17">
        <f t="shared" si="49"/>
        <v>108927.95771039443</v>
      </c>
      <c r="Q141" s="17">
        <f t="shared" si="50"/>
        <v>868.6068314163756</v>
      </c>
      <c r="R141" s="17">
        <f t="shared" si="51"/>
        <v>449237.36352588935</v>
      </c>
      <c r="S141" s="17">
        <f t="shared" si="52"/>
        <v>43016935.037084766</v>
      </c>
      <c r="T141" s="17">
        <f t="shared" si="77"/>
        <v>10882694.431528967</v>
      </c>
      <c r="U141" s="17">
        <f t="shared" si="53"/>
        <v>32134240.605555799</v>
      </c>
      <c r="V141" s="17">
        <f t="shared" si="54"/>
        <v>10433457.068003077</v>
      </c>
      <c r="W141" s="16">
        <f t="shared" si="78"/>
        <v>-20379.532695807367</v>
      </c>
      <c r="X141" s="16">
        <f t="shared" si="55"/>
        <v>-10882694.431528967</v>
      </c>
      <c r="Y141" s="16"/>
      <c r="Z141" s="16"/>
      <c r="AA141" s="2">
        <v>117</v>
      </c>
      <c r="AB141" s="20">
        <v>652.66901046414216</v>
      </c>
      <c r="AC141" s="19">
        <f t="shared" si="56"/>
        <v>4.7176666275132728E-3</v>
      </c>
      <c r="AD141" s="17">
        <f t="shared" si="57"/>
        <v>51915472.739127196</v>
      </c>
      <c r="AE141" s="17">
        <f t="shared" si="58"/>
        <v>413981.27005472541</v>
      </c>
      <c r="AF141" s="17">
        <f t="shared" si="59"/>
        <v>244919.89319295544</v>
      </c>
      <c r="AG141" s="17">
        <f t="shared" si="60"/>
        <v>1953.0256221527379</v>
      </c>
      <c r="AH141" s="17">
        <f t="shared" si="61"/>
        <v>660854.1888698336</v>
      </c>
      <c r="AI141" s="17">
        <f t="shared" si="62"/>
        <v>52576326.92799703</v>
      </c>
      <c r="AJ141" s="17">
        <f t="shared" si="79"/>
        <v>13301089.438294226</v>
      </c>
      <c r="AK141" s="17">
        <f t="shared" si="63"/>
        <v>39275237.489702806</v>
      </c>
      <c r="AL141" s="17">
        <f t="shared" si="64"/>
        <v>12640235.249424392</v>
      </c>
      <c r="AM141" s="16">
        <f t="shared" si="80"/>
        <v>-20379.532695807367</v>
      </c>
      <c r="AN141" s="16">
        <f t="shared" si="65"/>
        <v>-13301089.438294226</v>
      </c>
      <c r="AQ141" s="2">
        <v>117</v>
      </c>
      <c r="AR141" s="20">
        <v>586.69826843488931</v>
      </c>
      <c r="AS141" s="19">
        <f t="shared" si="66"/>
        <v>2.7399501968619067E-3</v>
      </c>
      <c r="AT141" s="17">
        <f t="shared" si="67"/>
        <v>46759983.358531803</v>
      </c>
      <c r="AU141" s="17">
        <f t="shared" si="68"/>
        <v>372870.67375413567</v>
      </c>
      <c r="AV141" s="17">
        <f t="shared" si="69"/>
        <v>128120.0256084687</v>
      </c>
      <c r="AW141" s="17">
        <f t="shared" si="70"/>
        <v>1021.6470759566758</v>
      </c>
      <c r="AX141" s="17">
        <f t="shared" si="71"/>
        <v>502012.34643856104</v>
      </c>
      <c r="AY141" s="17">
        <f t="shared" si="72"/>
        <v>47261995.704970367</v>
      </c>
      <c r="AZ141" s="17">
        <f t="shared" si="81"/>
        <v>11956636.544142395</v>
      </c>
      <c r="BA141" s="17">
        <f t="shared" si="73"/>
        <v>35305359.160827972</v>
      </c>
      <c r="BB141" s="17">
        <f t="shared" si="74"/>
        <v>11454624.197703835</v>
      </c>
      <c r="BC141" s="16">
        <f t="shared" si="75"/>
        <v>-10433457.068003077</v>
      </c>
      <c r="BD141" s="16">
        <f t="shared" si="76"/>
        <v>-11956636.544142395</v>
      </c>
    </row>
    <row r="142" spans="2:56" x14ac:dyDescent="0.35">
      <c r="B142" s="2">
        <v>118</v>
      </c>
      <c r="C142" s="17">
        <f t="shared" si="82"/>
        <v>60176.347980386068</v>
      </c>
      <c r="D142" s="18">
        <f t="shared" si="45"/>
        <v>479.85464929417793</v>
      </c>
      <c r="E142" s="17">
        <f t="shared" si="83"/>
        <v>60656.202629680243</v>
      </c>
      <c r="F142" s="18">
        <f t="shared" si="84"/>
        <v>20379.532695807367</v>
      </c>
      <c r="G142" s="17">
        <f t="shared" si="85"/>
        <v>40276.669933872879</v>
      </c>
      <c r="H142" s="17">
        <f t="shared" si="86"/>
        <v>19899.678046513189</v>
      </c>
      <c r="I142" s="16"/>
      <c r="J142" s="16"/>
      <c r="K142" s="2">
        <v>118</v>
      </c>
      <c r="L142" s="2">
        <v>535.36416261130046</v>
      </c>
      <c r="M142" s="19">
        <f t="shared" si="46"/>
        <v>2.5524032440980005E-3</v>
      </c>
      <c r="N142" s="17">
        <f t="shared" si="47"/>
        <v>32134240.605555799</v>
      </c>
      <c r="O142" s="17">
        <f t="shared" si="48"/>
        <v>256242.94716488349</v>
      </c>
      <c r="P142" s="17">
        <f t="shared" si="49"/>
        <v>82019.539968246318</v>
      </c>
      <c r="Q142" s="17">
        <f t="shared" si="50"/>
        <v>654.03532962088116</v>
      </c>
      <c r="R142" s="17">
        <f t="shared" si="51"/>
        <v>338916.52246275067</v>
      </c>
      <c r="S142" s="17">
        <f t="shared" si="52"/>
        <v>32473157.128018551</v>
      </c>
      <c r="T142" s="17">
        <f t="shared" si="77"/>
        <v>10910471.456100529</v>
      </c>
      <c r="U142" s="17">
        <f t="shared" si="53"/>
        <v>21562685.67191802</v>
      </c>
      <c r="V142" s="17">
        <f t="shared" si="54"/>
        <v>10571554.933637779</v>
      </c>
      <c r="W142" s="16">
        <f t="shared" si="78"/>
        <v>-20379.532695807367</v>
      </c>
      <c r="X142" s="16">
        <f t="shared" si="55"/>
        <v>-10910471.456100529</v>
      </c>
      <c r="Y142" s="16"/>
      <c r="Z142" s="16"/>
      <c r="AA142" s="2">
        <v>118</v>
      </c>
      <c r="AB142" s="20">
        <v>655.74808527362097</v>
      </c>
      <c r="AC142" s="19">
        <f t="shared" si="56"/>
        <v>4.7176666275132728E-3</v>
      </c>
      <c r="AD142" s="17">
        <f t="shared" si="57"/>
        <v>39275237.489702806</v>
      </c>
      <c r="AE142" s="17">
        <f t="shared" si="58"/>
        <v>313186.25912143593</v>
      </c>
      <c r="AF142" s="17">
        <f t="shared" si="59"/>
        <v>185287.4771928291</v>
      </c>
      <c r="AG142" s="17">
        <f t="shared" si="60"/>
        <v>1477.5083628529226</v>
      </c>
      <c r="AH142" s="17">
        <f t="shared" si="61"/>
        <v>499951.24467711791</v>
      </c>
      <c r="AI142" s="17">
        <f t="shared" si="62"/>
        <v>39775188.734379925</v>
      </c>
      <c r="AJ142" s="17">
        <f t="shared" si="79"/>
        <v>13363839.544046836</v>
      </c>
      <c r="AK142" s="17">
        <f t="shared" si="63"/>
        <v>26411349.190333091</v>
      </c>
      <c r="AL142" s="17">
        <f t="shared" si="64"/>
        <v>12863888.299369719</v>
      </c>
      <c r="AM142" s="16">
        <f t="shared" si="80"/>
        <v>-20379.532695807367</v>
      </c>
      <c r="AN142" s="16">
        <f t="shared" si="65"/>
        <v>-13363839.544046836</v>
      </c>
      <c r="AQ142" s="2">
        <v>118</v>
      </c>
      <c r="AR142" s="20">
        <v>588.15660135441817</v>
      </c>
      <c r="AS142" s="19">
        <f t="shared" si="66"/>
        <v>2.4856608549725934E-3</v>
      </c>
      <c r="AT142" s="17">
        <f t="shared" si="67"/>
        <v>35305359.160827972</v>
      </c>
      <c r="AU142" s="17">
        <f t="shared" si="68"/>
        <v>281529.8918413262</v>
      </c>
      <c r="AV142" s="17">
        <f t="shared" si="69"/>
        <v>87757.149236818135</v>
      </c>
      <c r="AW142" s="17">
        <f t="shared" si="70"/>
        <v>699.78783165465268</v>
      </c>
      <c r="AX142" s="17">
        <f t="shared" si="71"/>
        <v>369986.82890979899</v>
      </c>
      <c r="AY142" s="17">
        <f t="shared" si="72"/>
        <v>35675345.989737771</v>
      </c>
      <c r="AZ142" s="17">
        <f t="shared" si="81"/>
        <v>11986356.687557304</v>
      </c>
      <c r="BA142" s="17">
        <f t="shared" si="73"/>
        <v>23688989.302180469</v>
      </c>
      <c r="BB142" s="17">
        <f t="shared" si="74"/>
        <v>11616369.858647505</v>
      </c>
      <c r="BC142" s="16">
        <f t="shared" si="75"/>
        <v>-10571554.933637779</v>
      </c>
      <c r="BD142" s="16">
        <f t="shared" si="76"/>
        <v>-11986356.687557304</v>
      </c>
    </row>
    <row r="143" spans="2:56" x14ac:dyDescent="0.35">
      <c r="B143" s="2">
        <v>119</v>
      </c>
      <c r="C143" s="17">
        <f t="shared" si="82"/>
        <v>40276.669933872879</v>
      </c>
      <c r="D143" s="18">
        <f t="shared" si="45"/>
        <v>321.17182206130843</v>
      </c>
      <c r="E143" s="17">
        <f t="shared" si="83"/>
        <v>40597.841755934191</v>
      </c>
      <c r="F143" s="18">
        <f t="shared" si="84"/>
        <v>20379.532695807367</v>
      </c>
      <c r="G143" s="17">
        <f t="shared" si="85"/>
        <v>20218.309060126823</v>
      </c>
      <c r="H143" s="17">
        <f t="shared" si="86"/>
        <v>20058.36087374606</v>
      </c>
      <c r="I143" s="16"/>
      <c r="J143" s="16"/>
      <c r="K143" s="2">
        <v>119</v>
      </c>
      <c r="L143" s="2">
        <v>536.72714894599812</v>
      </c>
      <c r="M143" s="19">
        <f t="shared" si="46"/>
        <v>2.5459050677758555E-3</v>
      </c>
      <c r="N143" s="17">
        <f t="shared" si="47"/>
        <v>21562685.67191802</v>
      </c>
      <c r="O143" s="17">
        <f t="shared" si="48"/>
        <v>171943.88357218541</v>
      </c>
      <c r="P143" s="17">
        <f t="shared" si="49"/>
        <v>54896.550726993912</v>
      </c>
      <c r="Q143" s="17">
        <f t="shared" si="50"/>
        <v>437.75280455948848</v>
      </c>
      <c r="R143" s="17">
        <f t="shared" si="51"/>
        <v>227278.1871037388</v>
      </c>
      <c r="S143" s="17">
        <f t="shared" si="52"/>
        <v>21789963.859021757</v>
      </c>
      <c r="T143" s="17">
        <f t="shared" si="77"/>
        <v>10938248.48067244</v>
      </c>
      <c r="U143" s="17">
        <f t="shared" si="53"/>
        <v>10851715.378349317</v>
      </c>
      <c r="V143" s="17">
        <f t="shared" si="54"/>
        <v>10710970.293568701</v>
      </c>
      <c r="W143" s="16">
        <f t="shared" si="78"/>
        <v>-20379.532695807367</v>
      </c>
      <c r="X143" s="16">
        <f t="shared" si="55"/>
        <v>-10938248.48067244</v>
      </c>
      <c r="Y143" s="16"/>
      <c r="Z143" s="16"/>
      <c r="AA143" s="2">
        <v>119</v>
      </c>
      <c r="AB143" s="20">
        <v>658.84168613157203</v>
      </c>
      <c r="AC143" s="19">
        <f t="shared" si="56"/>
        <v>4.7176666275132728E-3</v>
      </c>
      <c r="AD143" s="17">
        <f t="shared" si="57"/>
        <v>26411349.190333091</v>
      </c>
      <c r="AE143" s="17">
        <f t="shared" si="58"/>
        <v>210607.80736052981</v>
      </c>
      <c r="AF143" s="17">
        <f t="shared" si="59"/>
        <v>124599.94066283412</v>
      </c>
      <c r="AG143" s="17">
        <f t="shared" si="60"/>
        <v>993.57742427851576</v>
      </c>
      <c r="AH143" s="17">
        <f t="shared" si="61"/>
        <v>336201.32544764248</v>
      </c>
      <c r="AI143" s="17">
        <f t="shared" si="62"/>
        <v>26747550.515780732</v>
      </c>
      <c r="AJ143" s="17">
        <f t="shared" si="79"/>
        <v>13426885.683879228</v>
      </c>
      <c r="AK143" s="17">
        <f t="shared" si="63"/>
        <v>13320664.831901504</v>
      </c>
      <c r="AL143" s="17">
        <f t="shared" si="64"/>
        <v>13090684.358431585</v>
      </c>
      <c r="AM143" s="16">
        <f t="shared" si="80"/>
        <v>-20379.532695807367</v>
      </c>
      <c r="AN143" s="16">
        <f t="shared" si="65"/>
        <v>-13426885.683879228</v>
      </c>
      <c r="AQ143" s="2">
        <v>119</v>
      </c>
      <c r="AR143" s="20">
        <v>589.59388441619058</v>
      </c>
      <c r="AS143" s="19">
        <f t="shared" si="66"/>
        <v>2.4437081186585718E-3</v>
      </c>
      <c r="AT143" s="17">
        <f t="shared" si="67"/>
        <v>23688989.302180469</v>
      </c>
      <c r="AU143" s="17">
        <f t="shared" si="68"/>
        <v>188899.32731438606</v>
      </c>
      <c r="AV143" s="17">
        <f t="shared" si="69"/>
        <v>57888.975480554465</v>
      </c>
      <c r="AW143" s="17">
        <f t="shared" si="70"/>
        <v>461.61481976730812</v>
      </c>
      <c r="AX143" s="17">
        <f t="shared" si="71"/>
        <v>247249.91761470784</v>
      </c>
      <c r="AY143" s="17">
        <f t="shared" si="72"/>
        <v>23936239.219795179</v>
      </c>
      <c r="AZ143" s="17">
        <f t="shared" si="81"/>
        <v>12015647.844707826</v>
      </c>
      <c r="BA143" s="17">
        <f t="shared" si="73"/>
        <v>11920591.375087352</v>
      </c>
      <c r="BB143" s="17">
        <f t="shared" si="74"/>
        <v>11768397.927093118</v>
      </c>
      <c r="BC143" s="16">
        <f t="shared" si="75"/>
        <v>-10710970.293568701</v>
      </c>
      <c r="BD143" s="16">
        <f t="shared" si="76"/>
        <v>-12015647.844707826</v>
      </c>
    </row>
    <row r="144" spans="2:56" x14ac:dyDescent="0.35">
      <c r="B144" s="2">
        <v>120</v>
      </c>
      <c r="C144" s="17">
        <f t="shared" si="82"/>
        <v>20218.309060126823</v>
      </c>
      <c r="D144" s="18">
        <f t="shared" si="45"/>
        <v>161.22363568042857</v>
      </c>
      <c r="E144" s="17">
        <f t="shared" si="83"/>
        <v>20379.532695807251</v>
      </c>
      <c r="F144" s="18">
        <f t="shared" si="84"/>
        <v>20379.532695807367</v>
      </c>
      <c r="G144" s="17">
        <f t="shared" si="85"/>
        <v>-1.1641532182693481E-10</v>
      </c>
      <c r="H144" s="17">
        <f t="shared" si="86"/>
        <v>20218.30906012694</v>
      </c>
      <c r="I144" s="16"/>
      <c r="J144" s="16"/>
      <c r="K144" s="2">
        <v>120</v>
      </c>
      <c r="L144" s="2">
        <v>538.09013528068579</v>
      </c>
      <c r="M144" s="19">
        <f t="shared" si="46"/>
        <v>2.5394398948594965E-3</v>
      </c>
      <c r="N144" s="17">
        <f t="shared" si="47"/>
        <v>10851715.378349317</v>
      </c>
      <c r="O144" s="17">
        <f t="shared" si="48"/>
        <v>86533.102321451996</v>
      </c>
      <c r="P144" s="17">
        <f t="shared" si="49"/>
        <v>27557.278959440573</v>
      </c>
      <c r="Q144" s="17">
        <f t="shared" si="50"/>
        <v>219.74561226105411</v>
      </c>
      <c r="R144" s="17">
        <f t="shared" si="51"/>
        <v>114310.12689315363</v>
      </c>
      <c r="S144" s="17">
        <f t="shared" si="52"/>
        <v>10966025.505242471</v>
      </c>
      <c r="T144" s="17">
        <f t="shared" si="77"/>
        <v>10966025.505244145</v>
      </c>
      <c r="U144" s="17">
        <f t="shared" si="53"/>
        <v>-1.6745179891586304E-6</v>
      </c>
      <c r="V144" s="17">
        <f t="shared" si="54"/>
        <v>10851715.378350992</v>
      </c>
      <c r="W144" s="16">
        <f t="shared" si="78"/>
        <v>-20379.532695807367</v>
      </c>
      <c r="X144" s="16">
        <f t="shared" si="55"/>
        <v>-10966025.505244145</v>
      </c>
      <c r="Y144" s="16"/>
      <c r="Z144" s="16"/>
      <c r="AA144" s="2">
        <v>120</v>
      </c>
      <c r="AB144" s="20">
        <v>661.9498815670496</v>
      </c>
      <c r="AC144" s="19">
        <f t="shared" si="56"/>
        <v>4.7176666275134949E-3</v>
      </c>
      <c r="AD144" s="17">
        <f t="shared" si="57"/>
        <v>13320664.831901504</v>
      </c>
      <c r="AE144" s="17">
        <f t="shared" si="58"/>
        <v>106220.85197594235</v>
      </c>
      <c r="AF144" s="17">
        <f t="shared" si="59"/>
        <v>62842.455933754383</v>
      </c>
      <c r="AG144" s="17">
        <f t="shared" si="60"/>
        <v>501.11456851295412</v>
      </c>
      <c r="AH144" s="17">
        <f t="shared" si="61"/>
        <v>169564.42247820969</v>
      </c>
      <c r="AI144" s="17">
        <f t="shared" si="62"/>
        <v>13490229.254379714</v>
      </c>
      <c r="AJ144" s="17">
        <f t="shared" si="79"/>
        <v>13490229.254381502</v>
      </c>
      <c r="AK144" s="17">
        <f t="shared" si="63"/>
        <v>-1.7881393432617188E-6</v>
      </c>
      <c r="AL144" s="17">
        <f t="shared" si="64"/>
        <v>13320664.831903292</v>
      </c>
      <c r="AM144" s="16">
        <f t="shared" si="80"/>
        <v>-20379.532695807367</v>
      </c>
      <c r="AN144" s="16">
        <f t="shared" si="65"/>
        <v>-13490229.254381502</v>
      </c>
      <c r="AQ144" s="2">
        <v>120</v>
      </c>
      <c r="AR144" s="20">
        <v>591.84024128088208</v>
      </c>
      <c r="AS144" s="19">
        <f t="shared" si="66"/>
        <v>3.8100070642961281E-3</v>
      </c>
      <c r="AT144" s="17">
        <f t="shared" si="67"/>
        <v>11920591.375087352</v>
      </c>
      <c r="AU144" s="17">
        <f t="shared" si="68"/>
        <v>95056.469620525575</v>
      </c>
      <c r="AV144" s="17">
        <f t="shared" si="69"/>
        <v>45417.537349670311</v>
      </c>
      <c r="AW144" s="17">
        <f t="shared" si="70"/>
        <v>362.16582076125275</v>
      </c>
      <c r="AX144" s="17">
        <f t="shared" si="71"/>
        <v>140836.17279095715</v>
      </c>
      <c r="AY144" s="17">
        <f t="shared" si="72"/>
        <v>12061427.54787831</v>
      </c>
      <c r="AZ144" s="17">
        <f t="shared" si="81"/>
        <v>12061427.547878258</v>
      </c>
      <c r="BA144" s="17">
        <f t="shared" si="73"/>
        <v>5.2154064178466797E-8</v>
      </c>
      <c r="BB144" s="17">
        <f t="shared" si="74"/>
        <v>11920591.3750873</v>
      </c>
      <c r="BC144" s="16">
        <f t="shared" si="75"/>
        <v>-10851715.378350992</v>
      </c>
      <c r="BD144" s="16">
        <f t="shared" si="76"/>
        <v>-12061427.547878258</v>
      </c>
    </row>
    <row r="145" spans="44:56" x14ac:dyDescent="0.35">
      <c r="AR145" s="1"/>
      <c r="AS145" s="27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</row>
  </sheetData>
  <mergeCells count="5">
    <mergeCell ref="AQ22:BB22"/>
    <mergeCell ref="AA22:AL22"/>
    <mergeCell ref="B2:E8"/>
    <mergeCell ref="B22:H22"/>
    <mergeCell ref="K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Leasing Proyecto final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Lenovo</cp:lastModifiedBy>
  <dcterms:created xsi:type="dcterms:W3CDTF">2026-09-21T23:08:22Z</dcterms:created>
  <dcterms:modified xsi:type="dcterms:W3CDTF">2026-10-29T00:56:33Z</dcterms:modified>
</cp:coreProperties>
</file>